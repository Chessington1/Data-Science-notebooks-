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2023" sheetId="1" r:id="rId1"/>
    <sheet name="Sales 2024" sheetId="2" r:id="rId2"/>
    <sheet name="All Data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<sst xmlns="http://schemas.openxmlformats.org/spreadsheetml/2006/main" count="4386" uniqueCount="45">
  <si>
    <t>Date</t>
  </si>
  <si>
    <t>Year</t>
  </si>
  <si>
    <t>Month</t>
  </si>
  <si>
    <t>Product</t>
  </si>
  <si>
    <t>Region</t>
  </si>
  <si>
    <t>Units_Sold</t>
  </si>
  <si>
    <t>Unit_Price</t>
  </si>
  <si>
    <t>Revenue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</si>
  <si>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</si>
  <si>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</si>
  <si>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</si>
  <si>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</si>
  <si>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</si>
  <si>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</si>
  <si>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</si>
  <si>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</si>
  <si>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</si>
  <si>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</si>
  <si>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</si>
  <si>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</si>
  <si>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</si>
  <si>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Laptop</t>
  </si>
  <si>
    <t>Smartphone</t>
  </si>
  <si>
    <t>Headphones</t>
  </si>
  <si>
    <t>Tablet</t>
  </si>
  <si>
    <t>Smartwatch</t>
  </si>
  <si>
    <t>Monitor</t>
  </si>
  <si>
    <t>Accra</t>
  </si>
  <si>
    <t>Kumasi</t>
  </si>
  <si>
    <t>Takoradi</t>
  </si>
  <si>
    <t>Tamale</t>
  </si>
  <si>
    <t>Cape Coast</t>
  </si>
  <si>
    <t>Sales Performance Dashboard (2023–2024)</t>
  </si>
  <si>
    <t>Prepared by Emmanuel Nyamekye | Data Analyst</t>
  </si>
  <si>
    <t>KPI</t>
  </si>
  <si>
    <t>Value</t>
  </si>
  <si>
    <t>Total Revenue (2023)</t>
  </si>
  <si>
    <t>Total Revenue (2024)</t>
  </si>
  <si>
    <t>YoY Revenue Growth</t>
  </si>
  <si>
    <t>Total Profit (2024)</t>
  </si>
  <si>
    <t>Total Units Sold (2024)</t>
  </si>
  <si>
    <t>Revenue 2023</t>
  </si>
  <si>
    <t>Revenue 2024</t>
  </si>
  <si>
    <t>Top Products (2024)</t>
  </si>
  <si>
    <t>Revenue by Region (2024)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</si>
</sst>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0"/>
      <color rgb="FF4F81BD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/>
    <xf numFmtId="165" fontId="4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(2023 vs 2024)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 2023</c:v>
          </c:tx>
          <c:marker>
            <c:symbol val="circle"/>
          </c:marker>
          <c:cat>
            <c:strRef>
              <c:f>Dashboard!$A$13:$A$24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Dashboard!$B$13:$B$24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Revenue 2024</c:v>
          </c:tx>
          <c:marker>
            <c:symbol val="diamond"/>
          </c:marker>
          <c:cat>
            <c:strRef>
              <c:f>Dashboard!$A$13:$A$24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Dashboard!$C$13:$C$24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 (2024)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Product (2024)</c:v>
          </c:tx>
          <c:cat>
            <c:strRef>
              <c:f>Dashboard!$A$26:$A$31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Tablet</c:v>
                </c:pt>
                <c:pt idx="4">
                  <c:v>Smartwatch</c:v>
                </c:pt>
                <c:pt idx="5">
                  <c:v>Monitor</c:v>
                </c:pt>
              </c:strCache>
            </c:strRef>
          </c:cat>
          <c:val>
            <c:numRef>
              <c:f>Dashboard!$B$26:$B$31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Region (2024)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by Region (2024)</c:v>
          </c:tx>
          <c:cat>
            <c:strRef>
              <c:f>Dashboard!$A$34:$A$38</c:f>
              <c:strCache>
                <c:ptCount val="5"/>
                <c:pt idx="0">
                  <c:v>Accra</c:v>
                </c:pt>
                <c:pt idx="1">
                  <c:v>Kumasi</c:v>
                </c:pt>
                <c:pt idx="2">
                  <c:v>Takoradi</c:v>
                </c:pt>
                <c:pt idx="3">
                  <c:v>Tamale</c:v>
                </c:pt>
                <c:pt idx="4">
                  <c:v>Cape Coast</c:v>
                </c:pt>
              </c:strCache>
            </c:strRef>
          </c:cat>
          <c:val>
            <c:numRef>
              <c:f>Dashboard!$B$34:$B$38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11</xdr:col>
      <xdr:colOff>304800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10</xdr:col>
      <xdr:colOff>638175</xdr:colOff>
      <xdr:row>44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276225</xdr:colOff>
      <xdr:row>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44927</v>
      </c>
      <c r="B2">
        <v>2023</v>
      </c>
      <c r="C2" t="s">
        <v>9</v>
      </c>
      <c r="D2" t="s">
        <v>21</v>
      </c>
      <c r="E2" t="s">
        <v>27</v>
      </c>
      <c r="F2">
        <v>186</v>
      </c>
      <c r="G2">
        <v>1318</v>
      </c>
      <c r="H2">
        <v>245148</v>
      </c>
      <c r="I2">
        <v>31260</v>
      </c>
    </row>
    <row r="3" spans="1:9">
      <c r="A3" s="2">
        <v>44927</v>
      </c>
      <c r="B3">
        <v>2023</v>
      </c>
      <c r="C3" t="s">
        <v>9</v>
      </c>
      <c r="D3" t="s">
        <v>21</v>
      </c>
      <c r="E3" t="s">
        <v>28</v>
      </c>
      <c r="F3">
        <v>154</v>
      </c>
      <c r="G3">
        <v>1259</v>
      </c>
      <c r="H3">
        <v>193886</v>
      </c>
      <c r="I3">
        <v>23926</v>
      </c>
    </row>
    <row r="4" spans="1:9">
      <c r="A4" s="2">
        <v>44927</v>
      </c>
      <c r="B4">
        <v>2023</v>
      </c>
      <c r="C4" t="s">
        <v>9</v>
      </c>
      <c r="D4" t="s">
        <v>21</v>
      </c>
      <c r="E4" t="s">
        <v>29</v>
      </c>
      <c r="F4">
        <v>301</v>
      </c>
      <c r="G4">
        <v>1097</v>
      </c>
      <c r="H4">
        <v>330197</v>
      </c>
      <c r="I4">
        <v>75921</v>
      </c>
    </row>
    <row r="5" spans="1:9">
      <c r="A5" s="2">
        <v>44927</v>
      </c>
      <c r="B5">
        <v>2023</v>
      </c>
      <c r="C5" t="s">
        <v>9</v>
      </c>
      <c r="D5" t="s">
        <v>21</v>
      </c>
      <c r="E5" t="s">
        <v>30</v>
      </c>
      <c r="F5">
        <v>183</v>
      </c>
      <c r="G5">
        <v>1122</v>
      </c>
      <c r="H5">
        <v>205326</v>
      </c>
      <c r="I5">
        <v>40579</v>
      </c>
    </row>
    <row r="6" spans="1:9">
      <c r="A6" s="2">
        <v>44927</v>
      </c>
      <c r="B6">
        <v>2023</v>
      </c>
      <c r="C6" t="s">
        <v>9</v>
      </c>
      <c r="D6" t="s">
        <v>21</v>
      </c>
      <c r="E6" t="s">
        <v>31</v>
      </c>
      <c r="F6">
        <v>397</v>
      </c>
      <c r="G6">
        <v>1370</v>
      </c>
      <c r="H6">
        <v>543890</v>
      </c>
      <c r="I6">
        <v>122302</v>
      </c>
    </row>
    <row r="7" spans="1:9">
      <c r="A7" s="2">
        <v>44927</v>
      </c>
      <c r="B7">
        <v>2023</v>
      </c>
      <c r="C7" t="s">
        <v>9</v>
      </c>
      <c r="D7" t="s">
        <v>22</v>
      </c>
      <c r="E7" t="s">
        <v>27</v>
      </c>
      <c r="F7">
        <v>382</v>
      </c>
      <c r="G7">
        <v>720</v>
      </c>
      <c r="H7">
        <v>275040</v>
      </c>
      <c r="I7">
        <v>68438</v>
      </c>
    </row>
    <row r="8" spans="1:9">
      <c r="A8" s="2">
        <v>44927</v>
      </c>
      <c r="B8">
        <v>2023</v>
      </c>
      <c r="C8" t="s">
        <v>9</v>
      </c>
      <c r="D8" t="s">
        <v>22</v>
      </c>
      <c r="E8" t="s">
        <v>28</v>
      </c>
      <c r="F8">
        <v>245</v>
      </c>
      <c r="G8">
        <v>780</v>
      </c>
      <c r="H8">
        <v>191100</v>
      </c>
      <c r="I8">
        <v>34152</v>
      </c>
    </row>
    <row r="9" spans="1:9">
      <c r="A9" s="2">
        <v>44927</v>
      </c>
      <c r="B9">
        <v>2023</v>
      </c>
      <c r="C9" t="s">
        <v>9</v>
      </c>
      <c r="D9" t="s">
        <v>22</v>
      </c>
      <c r="E9" t="s">
        <v>29</v>
      </c>
      <c r="F9">
        <v>322</v>
      </c>
      <c r="G9">
        <v>724</v>
      </c>
      <c r="H9">
        <v>233128</v>
      </c>
      <c r="I9">
        <v>41663</v>
      </c>
    </row>
    <row r="10" spans="1:9">
      <c r="A10" s="2">
        <v>44927</v>
      </c>
      <c r="B10">
        <v>2023</v>
      </c>
      <c r="C10" t="s">
        <v>9</v>
      </c>
      <c r="D10" t="s">
        <v>22</v>
      </c>
      <c r="E10" t="s">
        <v>30</v>
      </c>
      <c r="F10">
        <v>255</v>
      </c>
      <c r="G10">
        <v>729</v>
      </c>
      <c r="H10">
        <v>185895</v>
      </c>
      <c r="I10">
        <v>45741</v>
      </c>
    </row>
    <row r="11" spans="1:9">
      <c r="A11" s="2">
        <v>44927</v>
      </c>
      <c r="B11">
        <v>2023</v>
      </c>
      <c r="C11" t="s">
        <v>9</v>
      </c>
      <c r="D11" t="s">
        <v>22</v>
      </c>
      <c r="E11" t="s">
        <v>31</v>
      </c>
      <c r="F11">
        <v>358</v>
      </c>
      <c r="G11">
        <v>811</v>
      </c>
      <c r="H11">
        <v>290338</v>
      </c>
      <c r="I11">
        <v>63228</v>
      </c>
    </row>
    <row r="12" spans="1:9">
      <c r="A12" s="2">
        <v>44927</v>
      </c>
      <c r="B12">
        <v>2023</v>
      </c>
      <c r="C12" t="s">
        <v>9</v>
      </c>
      <c r="D12" t="s">
        <v>23</v>
      </c>
      <c r="E12" t="s">
        <v>27</v>
      </c>
      <c r="F12">
        <v>133</v>
      </c>
      <c r="G12">
        <v>119</v>
      </c>
      <c r="H12">
        <v>15827</v>
      </c>
      <c r="I12">
        <v>3916</v>
      </c>
    </row>
    <row r="13" spans="1:9">
      <c r="A13" s="2">
        <v>44927</v>
      </c>
      <c r="B13">
        <v>2023</v>
      </c>
      <c r="C13" t="s">
        <v>9</v>
      </c>
      <c r="D13" t="s">
        <v>23</v>
      </c>
      <c r="E13" t="s">
        <v>28</v>
      </c>
      <c r="F13">
        <v>215</v>
      </c>
      <c r="G13">
        <v>133</v>
      </c>
      <c r="H13">
        <v>28595</v>
      </c>
      <c r="I13">
        <v>5777</v>
      </c>
    </row>
    <row r="14" spans="1:9">
      <c r="A14" s="2">
        <v>44927</v>
      </c>
      <c r="B14">
        <v>2023</v>
      </c>
      <c r="C14" t="s">
        <v>9</v>
      </c>
      <c r="D14" t="s">
        <v>23</v>
      </c>
      <c r="E14" t="s">
        <v>29</v>
      </c>
      <c r="F14">
        <v>252</v>
      </c>
      <c r="G14">
        <v>108</v>
      </c>
      <c r="H14">
        <v>27216</v>
      </c>
      <c r="I14">
        <v>6568</v>
      </c>
    </row>
    <row r="15" spans="1:9">
      <c r="A15" s="2">
        <v>44927</v>
      </c>
      <c r="B15">
        <v>2023</v>
      </c>
      <c r="C15" t="s">
        <v>9</v>
      </c>
      <c r="D15" t="s">
        <v>23</v>
      </c>
      <c r="E15" t="s">
        <v>30</v>
      </c>
      <c r="F15">
        <v>95</v>
      </c>
      <c r="G15">
        <v>132</v>
      </c>
      <c r="H15">
        <v>12540</v>
      </c>
      <c r="I15">
        <v>1826</v>
      </c>
    </row>
    <row r="16" spans="1:9">
      <c r="A16" s="2">
        <v>44927</v>
      </c>
      <c r="B16">
        <v>2023</v>
      </c>
      <c r="C16" t="s">
        <v>9</v>
      </c>
      <c r="D16" t="s">
        <v>23</v>
      </c>
      <c r="E16" t="s">
        <v>31</v>
      </c>
      <c r="F16">
        <v>135</v>
      </c>
      <c r="G16">
        <v>114</v>
      </c>
      <c r="H16">
        <v>15390</v>
      </c>
      <c r="I16">
        <v>2095</v>
      </c>
    </row>
    <row r="17" spans="1:9">
      <c r="A17" s="2">
        <v>44927</v>
      </c>
      <c r="B17">
        <v>2023</v>
      </c>
      <c r="C17" t="s">
        <v>9</v>
      </c>
      <c r="D17" t="s">
        <v>24</v>
      </c>
      <c r="E17" t="s">
        <v>27</v>
      </c>
      <c r="F17">
        <v>351</v>
      </c>
      <c r="G17">
        <v>545</v>
      </c>
      <c r="H17">
        <v>191295</v>
      </c>
      <c r="I17">
        <v>45221</v>
      </c>
    </row>
    <row r="18" spans="1:9">
      <c r="A18" s="2">
        <v>44927</v>
      </c>
      <c r="B18">
        <v>2023</v>
      </c>
      <c r="C18" t="s">
        <v>9</v>
      </c>
      <c r="D18" t="s">
        <v>24</v>
      </c>
      <c r="E18" t="s">
        <v>28</v>
      </c>
      <c r="F18">
        <v>132</v>
      </c>
      <c r="G18">
        <v>639</v>
      </c>
      <c r="H18">
        <v>84348</v>
      </c>
      <c r="I18">
        <v>12378</v>
      </c>
    </row>
    <row r="19" spans="1:9">
      <c r="A19" s="2">
        <v>44927</v>
      </c>
      <c r="B19">
        <v>2023</v>
      </c>
      <c r="C19" t="s">
        <v>9</v>
      </c>
      <c r="D19" t="s">
        <v>24</v>
      </c>
      <c r="E19" t="s">
        <v>29</v>
      </c>
      <c r="F19">
        <v>136</v>
      </c>
      <c r="G19">
        <v>622</v>
      </c>
      <c r="H19">
        <v>84592</v>
      </c>
      <c r="I19">
        <v>10804</v>
      </c>
    </row>
    <row r="20" spans="1:9">
      <c r="A20" s="2">
        <v>44927</v>
      </c>
      <c r="B20">
        <v>2023</v>
      </c>
      <c r="C20" t="s">
        <v>9</v>
      </c>
      <c r="D20" t="s">
        <v>24</v>
      </c>
      <c r="E20" t="s">
        <v>30</v>
      </c>
      <c r="F20">
        <v>276</v>
      </c>
      <c r="G20">
        <v>666</v>
      </c>
      <c r="H20">
        <v>183816</v>
      </c>
      <c r="I20">
        <v>30782</v>
      </c>
    </row>
    <row r="21" spans="1:9">
      <c r="A21" s="2">
        <v>44927</v>
      </c>
      <c r="B21">
        <v>2023</v>
      </c>
      <c r="C21" t="s">
        <v>9</v>
      </c>
      <c r="D21" t="s">
        <v>24</v>
      </c>
      <c r="E21" t="s">
        <v>31</v>
      </c>
      <c r="F21">
        <v>288</v>
      </c>
      <c r="G21">
        <v>674</v>
      </c>
      <c r="H21">
        <v>194112</v>
      </c>
      <c r="I21">
        <v>36820</v>
      </c>
    </row>
    <row r="22" spans="1:9">
      <c r="A22" s="2">
        <v>44927</v>
      </c>
      <c r="B22">
        <v>2023</v>
      </c>
      <c r="C22" t="s">
        <v>9</v>
      </c>
      <c r="D22" t="s">
        <v>25</v>
      </c>
      <c r="E22" t="s">
        <v>27</v>
      </c>
      <c r="F22">
        <v>392</v>
      </c>
      <c r="G22">
        <v>245</v>
      </c>
      <c r="H22">
        <v>96040</v>
      </c>
      <c r="I22">
        <v>17821</v>
      </c>
    </row>
    <row r="23" spans="1:9">
      <c r="A23" s="2">
        <v>44927</v>
      </c>
      <c r="B23">
        <v>2023</v>
      </c>
      <c r="C23" t="s">
        <v>9</v>
      </c>
      <c r="D23" t="s">
        <v>25</v>
      </c>
      <c r="E23" t="s">
        <v>28</v>
      </c>
      <c r="F23">
        <v>339</v>
      </c>
      <c r="G23">
        <v>227</v>
      </c>
      <c r="H23">
        <v>76953</v>
      </c>
      <c r="I23">
        <v>11450</v>
      </c>
    </row>
    <row r="24" spans="1:9">
      <c r="A24" s="2">
        <v>44927</v>
      </c>
      <c r="B24">
        <v>2023</v>
      </c>
      <c r="C24" t="s">
        <v>9</v>
      </c>
      <c r="D24" t="s">
        <v>25</v>
      </c>
      <c r="E24" t="s">
        <v>29</v>
      </c>
      <c r="F24">
        <v>294</v>
      </c>
      <c r="G24">
        <v>271</v>
      </c>
      <c r="H24">
        <v>79674</v>
      </c>
      <c r="I24">
        <v>14417</v>
      </c>
    </row>
    <row r="25" spans="1:9">
      <c r="A25" s="2">
        <v>44927</v>
      </c>
      <c r="B25">
        <v>2023</v>
      </c>
      <c r="C25" t="s">
        <v>9</v>
      </c>
      <c r="D25" t="s">
        <v>25</v>
      </c>
      <c r="E25" t="s">
        <v>30</v>
      </c>
      <c r="F25">
        <v>367</v>
      </c>
      <c r="G25">
        <v>247</v>
      </c>
      <c r="H25">
        <v>90649</v>
      </c>
      <c r="I25">
        <v>12884</v>
      </c>
    </row>
    <row r="26" spans="1:9">
      <c r="A26" s="2">
        <v>44927</v>
      </c>
      <c r="B26">
        <v>2023</v>
      </c>
      <c r="C26" t="s">
        <v>9</v>
      </c>
      <c r="D26" t="s">
        <v>25</v>
      </c>
      <c r="E26" t="s">
        <v>31</v>
      </c>
      <c r="F26">
        <v>122</v>
      </c>
      <c r="G26">
        <v>243</v>
      </c>
      <c r="H26">
        <v>29646</v>
      </c>
      <c r="I26">
        <v>3699</v>
      </c>
    </row>
    <row r="27" spans="1:9">
      <c r="A27" s="2">
        <v>44927</v>
      </c>
      <c r="B27">
        <v>2023</v>
      </c>
      <c r="C27" t="s">
        <v>9</v>
      </c>
      <c r="D27" t="s">
        <v>26</v>
      </c>
      <c r="E27" t="s">
        <v>27</v>
      </c>
      <c r="F27">
        <v>90</v>
      </c>
      <c r="G27">
        <v>382</v>
      </c>
      <c r="H27">
        <v>34380</v>
      </c>
      <c r="I27">
        <v>4462</v>
      </c>
    </row>
    <row r="28" spans="1:9">
      <c r="A28" s="2">
        <v>44927</v>
      </c>
      <c r="B28">
        <v>2023</v>
      </c>
      <c r="C28" t="s">
        <v>9</v>
      </c>
      <c r="D28" t="s">
        <v>26</v>
      </c>
      <c r="E28" t="s">
        <v>28</v>
      </c>
      <c r="F28">
        <v>145</v>
      </c>
      <c r="G28">
        <v>386</v>
      </c>
      <c r="H28">
        <v>55970</v>
      </c>
      <c r="I28">
        <v>11531</v>
      </c>
    </row>
    <row r="29" spans="1:9">
      <c r="A29" s="2">
        <v>44927</v>
      </c>
      <c r="B29">
        <v>2023</v>
      </c>
      <c r="C29" t="s">
        <v>9</v>
      </c>
      <c r="D29" t="s">
        <v>26</v>
      </c>
      <c r="E29" t="s">
        <v>29</v>
      </c>
      <c r="F29">
        <v>248</v>
      </c>
      <c r="G29">
        <v>384</v>
      </c>
      <c r="H29">
        <v>95232</v>
      </c>
      <c r="I29">
        <v>18179</v>
      </c>
    </row>
    <row r="30" spans="1:9">
      <c r="A30" s="2">
        <v>44927</v>
      </c>
      <c r="B30">
        <v>2023</v>
      </c>
      <c r="C30" t="s">
        <v>9</v>
      </c>
      <c r="D30" t="s">
        <v>26</v>
      </c>
      <c r="E30" t="s">
        <v>30</v>
      </c>
      <c r="F30">
        <v>317</v>
      </c>
      <c r="G30">
        <v>371</v>
      </c>
      <c r="H30">
        <v>117607</v>
      </c>
      <c r="I30">
        <v>27901</v>
      </c>
    </row>
    <row r="31" spans="1:9">
      <c r="A31" s="2">
        <v>44927</v>
      </c>
      <c r="B31">
        <v>2023</v>
      </c>
      <c r="C31" t="s">
        <v>9</v>
      </c>
      <c r="D31" t="s">
        <v>26</v>
      </c>
      <c r="E31" t="s">
        <v>31</v>
      </c>
      <c r="F31">
        <v>287</v>
      </c>
      <c r="G31">
        <v>369</v>
      </c>
      <c r="H31">
        <v>105903</v>
      </c>
      <c r="I31">
        <v>15846</v>
      </c>
    </row>
    <row r="32" spans="1:9">
      <c r="A32" s="2">
        <v>44958</v>
      </c>
      <c r="B32">
        <v>2023</v>
      </c>
      <c r="C32" t="s">
        <v>10</v>
      </c>
      <c r="D32" t="s">
        <v>21</v>
      </c>
      <c r="E32" t="s">
        <v>27</v>
      </c>
      <c r="F32">
        <v>132</v>
      </c>
      <c r="G32">
        <v>1191</v>
      </c>
      <c r="H32">
        <v>157212</v>
      </c>
      <c r="I32">
        <v>31493</v>
      </c>
    </row>
    <row r="33" spans="1:9">
      <c r="A33" s="2">
        <v>44958</v>
      </c>
      <c r="B33">
        <v>2023</v>
      </c>
      <c r="C33" t="s">
        <v>10</v>
      </c>
      <c r="D33" t="s">
        <v>21</v>
      </c>
      <c r="E33" t="s">
        <v>28</v>
      </c>
      <c r="F33">
        <v>388</v>
      </c>
      <c r="G33">
        <v>1298</v>
      </c>
      <c r="H33">
        <v>503624</v>
      </c>
      <c r="I33">
        <v>98525</v>
      </c>
    </row>
    <row r="34" spans="1:9">
      <c r="A34" s="2">
        <v>44958</v>
      </c>
      <c r="B34">
        <v>2023</v>
      </c>
      <c r="C34" t="s">
        <v>10</v>
      </c>
      <c r="D34" t="s">
        <v>21</v>
      </c>
      <c r="E34" t="s">
        <v>29</v>
      </c>
      <c r="F34">
        <v>118</v>
      </c>
      <c r="G34">
        <v>1221</v>
      </c>
      <c r="H34">
        <v>144078</v>
      </c>
      <c r="I34">
        <v>16992</v>
      </c>
    </row>
    <row r="35" spans="1:9">
      <c r="A35" s="2">
        <v>44958</v>
      </c>
      <c r="B35">
        <v>2023</v>
      </c>
      <c r="C35" t="s">
        <v>10</v>
      </c>
      <c r="D35" t="s">
        <v>21</v>
      </c>
      <c r="E35" t="s">
        <v>30</v>
      </c>
      <c r="F35">
        <v>219</v>
      </c>
      <c r="G35">
        <v>1308</v>
      </c>
      <c r="H35">
        <v>286452</v>
      </c>
      <c r="I35">
        <v>52762</v>
      </c>
    </row>
    <row r="36" spans="1:9">
      <c r="A36" s="2">
        <v>44958</v>
      </c>
      <c r="B36">
        <v>2023</v>
      </c>
      <c r="C36" t="s">
        <v>10</v>
      </c>
      <c r="D36" t="s">
        <v>21</v>
      </c>
      <c r="E36" t="s">
        <v>31</v>
      </c>
      <c r="F36">
        <v>348</v>
      </c>
      <c r="G36">
        <v>1156</v>
      </c>
      <c r="H36">
        <v>402288</v>
      </c>
      <c r="I36">
        <v>42668</v>
      </c>
    </row>
    <row r="37" spans="1:9">
      <c r="A37" s="2">
        <v>44958</v>
      </c>
      <c r="B37">
        <v>2023</v>
      </c>
      <c r="C37" t="s">
        <v>10</v>
      </c>
      <c r="D37" t="s">
        <v>22</v>
      </c>
      <c r="E37" t="s">
        <v>27</v>
      </c>
      <c r="F37">
        <v>298</v>
      </c>
      <c r="G37">
        <v>805</v>
      </c>
      <c r="H37">
        <v>239890</v>
      </c>
      <c r="I37">
        <v>24903</v>
      </c>
    </row>
    <row r="38" spans="1:9">
      <c r="A38" s="2">
        <v>44958</v>
      </c>
      <c r="B38">
        <v>2023</v>
      </c>
      <c r="C38" t="s">
        <v>10</v>
      </c>
      <c r="D38" t="s">
        <v>22</v>
      </c>
      <c r="E38" t="s">
        <v>28</v>
      </c>
      <c r="F38">
        <v>269</v>
      </c>
      <c r="G38">
        <v>726</v>
      </c>
      <c r="H38">
        <v>195294</v>
      </c>
      <c r="I38">
        <v>38172</v>
      </c>
    </row>
    <row r="39" spans="1:9">
      <c r="A39" s="2">
        <v>44958</v>
      </c>
      <c r="B39">
        <v>2023</v>
      </c>
      <c r="C39" t="s">
        <v>10</v>
      </c>
      <c r="D39" t="s">
        <v>22</v>
      </c>
      <c r="E39" t="s">
        <v>29</v>
      </c>
      <c r="F39">
        <v>136</v>
      </c>
      <c r="G39">
        <v>832</v>
      </c>
      <c r="H39">
        <v>113152</v>
      </c>
      <c r="I39">
        <v>23120</v>
      </c>
    </row>
    <row r="40" spans="1:9">
      <c r="A40" s="2">
        <v>44958</v>
      </c>
      <c r="B40">
        <v>2023</v>
      </c>
      <c r="C40" t="s">
        <v>10</v>
      </c>
      <c r="D40" t="s">
        <v>22</v>
      </c>
      <c r="E40" t="s">
        <v>30</v>
      </c>
      <c r="F40">
        <v>323</v>
      </c>
      <c r="G40">
        <v>802</v>
      </c>
      <c r="H40">
        <v>259046</v>
      </c>
      <c r="I40">
        <v>55262</v>
      </c>
    </row>
    <row r="41" spans="1:9">
      <c r="A41" s="2">
        <v>44958</v>
      </c>
      <c r="B41">
        <v>2023</v>
      </c>
      <c r="C41" t="s">
        <v>10</v>
      </c>
      <c r="D41" t="s">
        <v>22</v>
      </c>
      <c r="E41" t="s">
        <v>31</v>
      </c>
      <c r="F41">
        <v>119</v>
      </c>
      <c r="G41">
        <v>908</v>
      </c>
      <c r="H41">
        <v>108052</v>
      </c>
      <c r="I41">
        <v>20511</v>
      </c>
    </row>
    <row r="42" spans="1:9">
      <c r="A42" s="2">
        <v>44958</v>
      </c>
      <c r="B42">
        <v>2023</v>
      </c>
      <c r="C42" t="s">
        <v>10</v>
      </c>
      <c r="D42" t="s">
        <v>23</v>
      </c>
      <c r="E42" t="s">
        <v>27</v>
      </c>
      <c r="F42">
        <v>335</v>
      </c>
      <c r="G42">
        <v>112</v>
      </c>
      <c r="H42">
        <v>37520</v>
      </c>
      <c r="I42">
        <v>8984</v>
      </c>
    </row>
    <row r="43" spans="1:9">
      <c r="A43" s="2">
        <v>44958</v>
      </c>
      <c r="B43">
        <v>2023</v>
      </c>
      <c r="C43" t="s">
        <v>10</v>
      </c>
      <c r="D43" t="s">
        <v>23</v>
      </c>
      <c r="E43" t="s">
        <v>28</v>
      </c>
      <c r="F43">
        <v>129</v>
      </c>
      <c r="G43">
        <v>116</v>
      </c>
      <c r="H43">
        <v>14964</v>
      </c>
      <c r="I43">
        <v>1733</v>
      </c>
    </row>
    <row r="44" spans="1:9">
      <c r="A44" s="2">
        <v>44958</v>
      </c>
      <c r="B44">
        <v>2023</v>
      </c>
      <c r="C44" t="s">
        <v>10</v>
      </c>
      <c r="D44" t="s">
        <v>23</v>
      </c>
      <c r="E44" t="s">
        <v>29</v>
      </c>
      <c r="F44">
        <v>378</v>
      </c>
      <c r="G44">
        <v>132</v>
      </c>
      <c r="H44">
        <v>49896</v>
      </c>
      <c r="I44">
        <v>6385</v>
      </c>
    </row>
    <row r="45" spans="1:9">
      <c r="A45" s="2">
        <v>44958</v>
      </c>
      <c r="B45">
        <v>2023</v>
      </c>
      <c r="C45" t="s">
        <v>10</v>
      </c>
      <c r="D45" t="s">
        <v>23</v>
      </c>
      <c r="E45" t="s">
        <v>30</v>
      </c>
      <c r="F45">
        <v>380</v>
      </c>
      <c r="G45">
        <v>134</v>
      </c>
      <c r="H45">
        <v>50920</v>
      </c>
      <c r="I45">
        <v>7569</v>
      </c>
    </row>
    <row r="46" spans="1:9">
      <c r="A46" s="2">
        <v>44958</v>
      </c>
      <c r="B46">
        <v>2023</v>
      </c>
      <c r="C46" t="s">
        <v>10</v>
      </c>
      <c r="D46" t="s">
        <v>23</v>
      </c>
      <c r="E46" t="s">
        <v>31</v>
      </c>
      <c r="F46">
        <v>323</v>
      </c>
      <c r="G46">
        <v>135</v>
      </c>
      <c r="H46">
        <v>43605</v>
      </c>
      <c r="I46">
        <v>6140</v>
      </c>
    </row>
    <row r="47" spans="1:9">
      <c r="A47" s="2">
        <v>44958</v>
      </c>
      <c r="B47">
        <v>2023</v>
      </c>
      <c r="C47" t="s">
        <v>10</v>
      </c>
      <c r="D47" t="s">
        <v>24</v>
      </c>
      <c r="E47" t="s">
        <v>27</v>
      </c>
      <c r="F47">
        <v>377</v>
      </c>
      <c r="G47">
        <v>604</v>
      </c>
      <c r="H47">
        <v>227708</v>
      </c>
      <c r="I47">
        <v>50711</v>
      </c>
    </row>
    <row r="48" spans="1:9">
      <c r="A48" s="2">
        <v>44958</v>
      </c>
      <c r="B48">
        <v>2023</v>
      </c>
      <c r="C48" t="s">
        <v>10</v>
      </c>
      <c r="D48" t="s">
        <v>24</v>
      </c>
      <c r="E48" t="s">
        <v>28</v>
      </c>
      <c r="F48">
        <v>325</v>
      </c>
      <c r="G48">
        <v>585</v>
      </c>
      <c r="H48">
        <v>190125</v>
      </c>
      <c r="I48">
        <v>23708</v>
      </c>
    </row>
    <row r="49" spans="1:9">
      <c r="A49" s="2">
        <v>44958</v>
      </c>
      <c r="B49">
        <v>2023</v>
      </c>
      <c r="C49" t="s">
        <v>10</v>
      </c>
      <c r="D49" t="s">
        <v>24</v>
      </c>
      <c r="E49" t="s">
        <v>29</v>
      </c>
      <c r="F49">
        <v>225</v>
      </c>
      <c r="G49">
        <v>612</v>
      </c>
      <c r="H49">
        <v>137700</v>
      </c>
      <c r="I49">
        <v>28072</v>
      </c>
    </row>
    <row r="50" spans="1:9">
      <c r="A50" s="2">
        <v>44958</v>
      </c>
      <c r="B50">
        <v>2023</v>
      </c>
      <c r="C50" t="s">
        <v>10</v>
      </c>
      <c r="D50" t="s">
        <v>24</v>
      </c>
      <c r="E50" t="s">
        <v>30</v>
      </c>
      <c r="F50">
        <v>326</v>
      </c>
      <c r="G50">
        <v>590</v>
      </c>
      <c r="H50">
        <v>192340</v>
      </c>
      <c r="I50">
        <v>46437</v>
      </c>
    </row>
    <row r="51" spans="1:9">
      <c r="A51" s="2">
        <v>44958</v>
      </c>
      <c r="B51">
        <v>2023</v>
      </c>
      <c r="C51" t="s">
        <v>10</v>
      </c>
      <c r="D51" t="s">
        <v>24</v>
      </c>
      <c r="E51" t="s">
        <v>31</v>
      </c>
      <c r="F51">
        <v>249</v>
      </c>
      <c r="G51">
        <v>617</v>
      </c>
      <c r="H51">
        <v>153633</v>
      </c>
      <c r="I51">
        <v>31564</v>
      </c>
    </row>
    <row r="52" spans="1:9">
      <c r="A52" s="2">
        <v>44958</v>
      </c>
      <c r="B52">
        <v>2023</v>
      </c>
      <c r="C52" t="s">
        <v>10</v>
      </c>
      <c r="D52" t="s">
        <v>25</v>
      </c>
      <c r="E52" t="s">
        <v>27</v>
      </c>
      <c r="F52">
        <v>200</v>
      </c>
      <c r="G52">
        <v>229</v>
      </c>
      <c r="H52">
        <v>45800</v>
      </c>
      <c r="I52">
        <v>6324</v>
      </c>
    </row>
    <row r="53" spans="1:9">
      <c r="A53" s="2">
        <v>44958</v>
      </c>
      <c r="B53">
        <v>2023</v>
      </c>
      <c r="C53" t="s">
        <v>10</v>
      </c>
      <c r="D53" t="s">
        <v>25</v>
      </c>
      <c r="E53" t="s">
        <v>28</v>
      </c>
      <c r="F53">
        <v>362</v>
      </c>
      <c r="G53">
        <v>240</v>
      </c>
      <c r="H53">
        <v>86880</v>
      </c>
      <c r="I53">
        <v>15168</v>
      </c>
    </row>
    <row r="54" spans="1:9">
      <c r="A54" s="2">
        <v>44958</v>
      </c>
      <c r="B54">
        <v>2023</v>
      </c>
      <c r="C54" t="s">
        <v>10</v>
      </c>
      <c r="D54" t="s">
        <v>25</v>
      </c>
      <c r="E54" t="s">
        <v>29</v>
      </c>
      <c r="F54">
        <v>200</v>
      </c>
      <c r="G54">
        <v>234</v>
      </c>
      <c r="H54">
        <v>46800</v>
      </c>
      <c r="I54">
        <v>11684</v>
      </c>
    </row>
    <row r="55" spans="1:9">
      <c r="A55" s="2">
        <v>44958</v>
      </c>
      <c r="B55">
        <v>2023</v>
      </c>
      <c r="C55" t="s">
        <v>10</v>
      </c>
      <c r="D55" t="s">
        <v>25</v>
      </c>
      <c r="E55" t="s">
        <v>30</v>
      </c>
      <c r="F55">
        <v>277</v>
      </c>
      <c r="G55">
        <v>263</v>
      </c>
      <c r="H55">
        <v>72851</v>
      </c>
      <c r="I55">
        <v>12778</v>
      </c>
    </row>
    <row r="56" spans="1:9">
      <c r="A56" s="2">
        <v>44958</v>
      </c>
      <c r="B56">
        <v>2023</v>
      </c>
      <c r="C56" t="s">
        <v>10</v>
      </c>
      <c r="D56" t="s">
        <v>25</v>
      </c>
      <c r="E56" t="s">
        <v>31</v>
      </c>
      <c r="F56">
        <v>138</v>
      </c>
      <c r="G56">
        <v>227</v>
      </c>
      <c r="H56">
        <v>31326</v>
      </c>
      <c r="I56">
        <v>4754</v>
      </c>
    </row>
    <row r="57" spans="1:9">
      <c r="A57" s="2">
        <v>44958</v>
      </c>
      <c r="B57">
        <v>2023</v>
      </c>
      <c r="C57" t="s">
        <v>10</v>
      </c>
      <c r="D57" t="s">
        <v>26</v>
      </c>
      <c r="E57" t="s">
        <v>27</v>
      </c>
      <c r="F57">
        <v>213</v>
      </c>
      <c r="G57">
        <v>327</v>
      </c>
      <c r="H57">
        <v>69651</v>
      </c>
      <c r="I57">
        <v>12078</v>
      </c>
    </row>
    <row r="58" spans="1:9">
      <c r="A58" s="2">
        <v>44958</v>
      </c>
      <c r="B58">
        <v>2023</v>
      </c>
      <c r="C58" t="s">
        <v>10</v>
      </c>
      <c r="D58" t="s">
        <v>26</v>
      </c>
      <c r="E58" t="s">
        <v>28</v>
      </c>
      <c r="F58">
        <v>249</v>
      </c>
      <c r="G58">
        <v>363</v>
      </c>
      <c r="H58">
        <v>90387</v>
      </c>
      <c r="I58">
        <v>17074</v>
      </c>
    </row>
    <row r="59" spans="1:9">
      <c r="A59" s="2">
        <v>44958</v>
      </c>
      <c r="B59">
        <v>2023</v>
      </c>
      <c r="C59" t="s">
        <v>10</v>
      </c>
      <c r="D59" t="s">
        <v>26</v>
      </c>
      <c r="E59" t="s">
        <v>29</v>
      </c>
      <c r="F59">
        <v>294</v>
      </c>
      <c r="G59">
        <v>347</v>
      </c>
      <c r="H59">
        <v>102018</v>
      </c>
      <c r="I59">
        <v>13907</v>
      </c>
    </row>
    <row r="60" spans="1:9">
      <c r="A60" s="2">
        <v>44958</v>
      </c>
      <c r="B60">
        <v>2023</v>
      </c>
      <c r="C60" t="s">
        <v>10</v>
      </c>
      <c r="D60" t="s">
        <v>26</v>
      </c>
      <c r="E60" t="s">
        <v>30</v>
      </c>
      <c r="F60">
        <v>389</v>
      </c>
      <c r="G60">
        <v>347</v>
      </c>
      <c r="H60">
        <v>134983</v>
      </c>
      <c r="I60">
        <v>26300</v>
      </c>
    </row>
    <row r="61" spans="1:9">
      <c r="A61" s="2">
        <v>44958</v>
      </c>
      <c r="B61">
        <v>2023</v>
      </c>
      <c r="C61" t="s">
        <v>10</v>
      </c>
      <c r="D61" t="s">
        <v>26</v>
      </c>
      <c r="E61" t="s">
        <v>31</v>
      </c>
      <c r="F61">
        <v>288</v>
      </c>
      <c r="G61">
        <v>349</v>
      </c>
      <c r="H61">
        <v>100512</v>
      </c>
      <c r="I61">
        <v>22360</v>
      </c>
    </row>
    <row r="62" spans="1:9">
      <c r="A62" s="2">
        <v>44986</v>
      </c>
      <c r="B62">
        <v>2023</v>
      </c>
      <c r="C62" t="s">
        <v>11</v>
      </c>
      <c r="D62" t="s">
        <v>21</v>
      </c>
      <c r="E62" t="s">
        <v>27</v>
      </c>
      <c r="F62">
        <v>234</v>
      </c>
      <c r="G62">
        <v>1330</v>
      </c>
      <c r="H62">
        <v>311220</v>
      </c>
      <c r="I62">
        <v>46096</v>
      </c>
    </row>
    <row r="63" spans="1:9">
      <c r="A63" s="2">
        <v>44986</v>
      </c>
      <c r="B63">
        <v>2023</v>
      </c>
      <c r="C63" t="s">
        <v>11</v>
      </c>
      <c r="D63" t="s">
        <v>21</v>
      </c>
      <c r="E63" t="s">
        <v>28</v>
      </c>
      <c r="F63">
        <v>354</v>
      </c>
      <c r="G63">
        <v>1257</v>
      </c>
      <c r="H63">
        <v>444978</v>
      </c>
      <c r="I63">
        <v>89722</v>
      </c>
    </row>
    <row r="64" spans="1:9">
      <c r="A64" s="2">
        <v>44986</v>
      </c>
      <c r="B64">
        <v>2023</v>
      </c>
      <c r="C64" t="s">
        <v>11</v>
      </c>
      <c r="D64" t="s">
        <v>21</v>
      </c>
      <c r="E64" t="s">
        <v>29</v>
      </c>
      <c r="F64">
        <v>237</v>
      </c>
      <c r="G64">
        <v>1184</v>
      </c>
      <c r="H64">
        <v>280608</v>
      </c>
      <c r="I64">
        <v>32108</v>
      </c>
    </row>
    <row r="65" spans="1:9">
      <c r="A65" s="2">
        <v>44986</v>
      </c>
      <c r="B65">
        <v>2023</v>
      </c>
      <c r="C65" t="s">
        <v>11</v>
      </c>
      <c r="D65" t="s">
        <v>21</v>
      </c>
      <c r="E65" t="s">
        <v>30</v>
      </c>
      <c r="F65">
        <v>217</v>
      </c>
      <c r="G65">
        <v>1235</v>
      </c>
      <c r="H65">
        <v>267995</v>
      </c>
      <c r="I65">
        <v>60474</v>
      </c>
    </row>
    <row r="66" spans="1:9">
      <c r="A66" s="2">
        <v>44986</v>
      </c>
      <c r="B66">
        <v>2023</v>
      </c>
      <c r="C66" t="s">
        <v>11</v>
      </c>
      <c r="D66" t="s">
        <v>21</v>
      </c>
      <c r="E66" t="s">
        <v>31</v>
      </c>
      <c r="F66">
        <v>363</v>
      </c>
      <c r="G66">
        <v>1182</v>
      </c>
      <c r="H66">
        <v>429066</v>
      </c>
      <c r="I66">
        <v>50209</v>
      </c>
    </row>
    <row r="67" spans="1:9">
      <c r="A67" s="2">
        <v>44986</v>
      </c>
      <c r="B67">
        <v>2023</v>
      </c>
      <c r="C67" t="s">
        <v>11</v>
      </c>
      <c r="D67" t="s">
        <v>22</v>
      </c>
      <c r="E67" t="s">
        <v>27</v>
      </c>
      <c r="F67">
        <v>241</v>
      </c>
      <c r="G67">
        <v>828</v>
      </c>
      <c r="H67">
        <v>199548</v>
      </c>
      <c r="I67">
        <v>40781</v>
      </c>
    </row>
    <row r="68" spans="1:9">
      <c r="A68" s="2">
        <v>44986</v>
      </c>
      <c r="B68">
        <v>2023</v>
      </c>
      <c r="C68" t="s">
        <v>11</v>
      </c>
      <c r="D68" t="s">
        <v>22</v>
      </c>
      <c r="E68" t="s">
        <v>28</v>
      </c>
      <c r="F68">
        <v>359</v>
      </c>
      <c r="G68">
        <v>851</v>
      </c>
      <c r="H68">
        <v>305509</v>
      </c>
      <c r="I68">
        <v>68001</v>
      </c>
    </row>
    <row r="69" spans="1:9">
      <c r="A69" s="2">
        <v>44986</v>
      </c>
      <c r="B69">
        <v>2023</v>
      </c>
      <c r="C69" t="s">
        <v>11</v>
      </c>
      <c r="D69" t="s">
        <v>22</v>
      </c>
      <c r="E69" t="s">
        <v>29</v>
      </c>
      <c r="F69">
        <v>145</v>
      </c>
      <c r="G69">
        <v>772</v>
      </c>
      <c r="H69">
        <v>111940</v>
      </c>
      <c r="I69">
        <v>27922</v>
      </c>
    </row>
    <row r="70" spans="1:9">
      <c r="A70" s="2">
        <v>44986</v>
      </c>
      <c r="B70">
        <v>2023</v>
      </c>
      <c r="C70" t="s">
        <v>11</v>
      </c>
      <c r="D70" t="s">
        <v>22</v>
      </c>
      <c r="E70" t="s">
        <v>30</v>
      </c>
      <c r="F70">
        <v>349</v>
      </c>
      <c r="G70">
        <v>899</v>
      </c>
      <c r="H70">
        <v>313751</v>
      </c>
      <c r="I70">
        <v>73751</v>
      </c>
    </row>
    <row r="71" spans="1:9">
      <c r="A71" s="2">
        <v>44986</v>
      </c>
      <c r="B71">
        <v>2023</v>
      </c>
      <c r="C71" t="s">
        <v>11</v>
      </c>
      <c r="D71" t="s">
        <v>22</v>
      </c>
      <c r="E71" t="s">
        <v>31</v>
      </c>
      <c r="F71">
        <v>92</v>
      </c>
      <c r="G71">
        <v>775</v>
      </c>
      <c r="H71">
        <v>71300</v>
      </c>
      <c r="I71">
        <v>14620</v>
      </c>
    </row>
    <row r="72" spans="1:9">
      <c r="A72" s="2">
        <v>44986</v>
      </c>
      <c r="B72">
        <v>2023</v>
      </c>
      <c r="C72" t="s">
        <v>11</v>
      </c>
      <c r="D72" t="s">
        <v>23</v>
      </c>
      <c r="E72" t="s">
        <v>27</v>
      </c>
      <c r="F72">
        <v>301</v>
      </c>
      <c r="G72">
        <v>134</v>
      </c>
      <c r="H72">
        <v>40334</v>
      </c>
      <c r="I72">
        <v>9400</v>
      </c>
    </row>
    <row r="73" spans="1:9">
      <c r="A73" s="2">
        <v>44986</v>
      </c>
      <c r="B73">
        <v>2023</v>
      </c>
      <c r="C73" t="s">
        <v>11</v>
      </c>
      <c r="D73" t="s">
        <v>23</v>
      </c>
      <c r="E73" t="s">
        <v>28</v>
      </c>
      <c r="F73">
        <v>208</v>
      </c>
      <c r="G73">
        <v>134</v>
      </c>
      <c r="H73">
        <v>27872</v>
      </c>
      <c r="I73">
        <v>6344</v>
      </c>
    </row>
    <row r="74" spans="1:9">
      <c r="A74" s="2">
        <v>44986</v>
      </c>
      <c r="B74">
        <v>2023</v>
      </c>
      <c r="C74" t="s">
        <v>11</v>
      </c>
      <c r="D74" t="s">
        <v>23</v>
      </c>
      <c r="E74" t="s">
        <v>29</v>
      </c>
      <c r="F74">
        <v>201</v>
      </c>
      <c r="G74">
        <v>112</v>
      </c>
      <c r="H74">
        <v>22512</v>
      </c>
      <c r="I74">
        <v>5285</v>
      </c>
    </row>
    <row r="75" spans="1:9">
      <c r="A75" s="2">
        <v>44986</v>
      </c>
      <c r="B75">
        <v>2023</v>
      </c>
      <c r="C75" t="s">
        <v>11</v>
      </c>
      <c r="D75" t="s">
        <v>23</v>
      </c>
      <c r="E75" t="s">
        <v>30</v>
      </c>
      <c r="F75">
        <v>349</v>
      </c>
      <c r="G75">
        <v>108</v>
      </c>
      <c r="H75">
        <v>37692</v>
      </c>
      <c r="I75">
        <v>4342</v>
      </c>
    </row>
    <row r="76" spans="1:9">
      <c r="A76" s="2">
        <v>44986</v>
      </c>
      <c r="B76">
        <v>2023</v>
      </c>
      <c r="C76" t="s">
        <v>11</v>
      </c>
      <c r="D76" t="s">
        <v>23</v>
      </c>
      <c r="E76" t="s">
        <v>31</v>
      </c>
      <c r="F76">
        <v>186</v>
      </c>
      <c r="G76">
        <v>137</v>
      </c>
      <c r="H76">
        <v>25482</v>
      </c>
      <c r="I76">
        <v>3633</v>
      </c>
    </row>
    <row r="77" spans="1:9">
      <c r="A77" s="2">
        <v>44986</v>
      </c>
      <c r="B77">
        <v>2023</v>
      </c>
      <c r="C77" t="s">
        <v>11</v>
      </c>
      <c r="D77" t="s">
        <v>24</v>
      </c>
      <c r="E77" t="s">
        <v>27</v>
      </c>
      <c r="F77">
        <v>286</v>
      </c>
      <c r="G77">
        <v>643</v>
      </c>
      <c r="H77">
        <v>183898</v>
      </c>
      <c r="I77">
        <v>36373</v>
      </c>
    </row>
    <row r="78" spans="1:9">
      <c r="A78" s="2">
        <v>44986</v>
      </c>
      <c r="B78">
        <v>2023</v>
      </c>
      <c r="C78" t="s">
        <v>11</v>
      </c>
      <c r="D78" t="s">
        <v>24</v>
      </c>
      <c r="E78" t="s">
        <v>28</v>
      </c>
      <c r="F78">
        <v>260</v>
      </c>
      <c r="G78">
        <v>566</v>
      </c>
      <c r="H78">
        <v>147160</v>
      </c>
      <c r="I78">
        <v>15114</v>
      </c>
    </row>
    <row r="79" spans="1:9">
      <c r="A79" s="2">
        <v>44986</v>
      </c>
      <c r="B79">
        <v>2023</v>
      </c>
      <c r="C79" t="s">
        <v>11</v>
      </c>
      <c r="D79" t="s">
        <v>24</v>
      </c>
      <c r="E79" t="s">
        <v>29</v>
      </c>
      <c r="F79">
        <v>373</v>
      </c>
      <c r="G79">
        <v>566</v>
      </c>
      <c r="H79">
        <v>211118</v>
      </c>
      <c r="I79">
        <v>32717</v>
      </c>
    </row>
    <row r="80" spans="1:9">
      <c r="A80" s="2">
        <v>44986</v>
      </c>
      <c r="B80">
        <v>2023</v>
      </c>
      <c r="C80" t="s">
        <v>11</v>
      </c>
      <c r="D80" t="s">
        <v>24</v>
      </c>
      <c r="E80" t="s">
        <v>30</v>
      </c>
      <c r="F80">
        <v>224</v>
      </c>
      <c r="G80">
        <v>648</v>
      </c>
      <c r="H80">
        <v>145152</v>
      </c>
      <c r="I80">
        <v>21222</v>
      </c>
    </row>
    <row r="81" spans="1:9">
      <c r="A81" s="2">
        <v>44986</v>
      </c>
      <c r="B81">
        <v>2023</v>
      </c>
      <c r="C81" t="s">
        <v>11</v>
      </c>
      <c r="D81" t="s">
        <v>24</v>
      </c>
      <c r="E81" t="s">
        <v>31</v>
      </c>
      <c r="F81">
        <v>267</v>
      </c>
      <c r="G81">
        <v>554</v>
      </c>
      <c r="H81">
        <v>147918</v>
      </c>
      <c r="I81">
        <v>22950</v>
      </c>
    </row>
    <row r="82" spans="1:9">
      <c r="A82" s="2">
        <v>44986</v>
      </c>
      <c r="B82">
        <v>2023</v>
      </c>
      <c r="C82" t="s">
        <v>11</v>
      </c>
      <c r="D82" t="s">
        <v>25</v>
      </c>
      <c r="E82" t="s">
        <v>27</v>
      </c>
      <c r="F82">
        <v>106</v>
      </c>
      <c r="G82">
        <v>240</v>
      </c>
      <c r="H82">
        <v>25440</v>
      </c>
      <c r="I82">
        <v>6257</v>
      </c>
    </row>
    <row r="83" spans="1:9">
      <c r="A83" s="2">
        <v>44986</v>
      </c>
      <c r="B83">
        <v>2023</v>
      </c>
      <c r="C83" t="s">
        <v>11</v>
      </c>
      <c r="D83" t="s">
        <v>25</v>
      </c>
      <c r="E83" t="s">
        <v>28</v>
      </c>
      <c r="F83">
        <v>136</v>
      </c>
      <c r="G83">
        <v>280</v>
      </c>
      <c r="H83">
        <v>38080</v>
      </c>
      <c r="I83">
        <v>7413</v>
      </c>
    </row>
    <row r="84" spans="1:9">
      <c r="A84" s="2">
        <v>44986</v>
      </c>
      <c r="B84">
        <v>2023</v>
      </c>
      <c r="C84" t="s">
        <v>11</v>
      </c>
      <c r="D84" t="s">
        <v>25</v>
      </c>
      <c r="E84" t="s">
        <v>29</v>
      </c>
      <c r="F84">
        <v>320</v>
      </c>
      <c r="G84">
        <v>246</v>
      </c>
      <c r="H84">
        <v>78720</v>
      </c>
      <c r="I84">
        <v>15489</v>
      </c>
    </row>
    <row r="85" spans="1:9">
      <c r="A85" s="2">
        <v>44986</v>
      </c>
      <c r="B85">
        <v>2023</v>
      </c>
      <c r="C85" t="s">
        <v>11</v>
      </c>
      <c r="D85" t="s">
        <v>25</v>
      </c>
      <c r="E85" t="s">
        <v>30</v>
      </c>
      <c r="F85">
        <v>415</v>
      </c>
      <c r="G85">
        <v>256</v>
      </c>
      <c r="H85">
        <v>106240</v>
      </c>
      <c r="I85">
        <v>19739</v>
      </c>
    </row>
    <row r="86" spans="1:9">
      <c r="A86" s="2">
        <v>44986</v>
      </c>
      <c r="B86">
        <v>2023</v>
      </c>
      <c r="C86" t="s">
        <v>11</v>
      </c>
      <c r="D86" t="s">
        <v>25</v>
      </c>
      <c r="E86" t="s">
        <v>31</v>
      </c>
      <c r="F86">
        <v>284</v>
      </c>
      <c r="G86">
        <v>265</v>
      </c>
      <c r="H86">
        <v>75260</v>
      </c>
      <c r="I86">
        <v>9525</v>
      </c>
    </row>
    <row r="87" spans="1:9">
      <c r="A87" s="2">
        <v>44986</v>
      </c>
      <c r="B87">
        <v>2023</v>
      </c>
      <c r="C87" t="s">
        <v>11</v>
      </c>
      <c r="D87" t="s">
        <v>26</v>
      </c>
      <c r="E87" t="s">
        <v>27</v>
      </c>
      <c r="F87">
        <v>313</v>
      </c>
      <c r="G87">
        <v>356</v>
      </c>
      <c r="H87">
        <v>111428</v>
      </c>
      <c r="I87">
        <v>15815</v>
      </c>
    </row>
    <row r="88" spans="1:9">
      <c r="A88" s="2">
        <v>44986</v>
      </c>
      <c r="B88">
        <v>2023</v>
      </c>
      <c r="C88" t="s">
        <v>11</v>
      </c>
      <c r="D88" t="s">
        <v>26</v>
      </c>
      <c r="E88" t="s">
        <v>28</v>
      </c>
      <c r="F88">
        <v>89</v>
      </c>
      <c r="G88">
        <v>347</v>
      </c>
      <c r="H88">
        <v>30883</v>
      </c>
      <c r="I88">
        <v>3159</v>
      </c>
    </row>
    <row r="89" spans="1:9">
      <c r="A89" s="2">
        <v>44986</v>
      </c>
      <c r="B89">
        <v>2023</v>
      </c>
      <c r="C89" t="s">
        <v>11</v>
      </c>
      <c r="D89" t="s">
        <v>26</v>
      </c>
      <c r="E89" t="s">
        <v>29</v>
      </c>
      <c r="F89">
        <v>376</v>
      </c>
      <c r="G89">
        <v>343</v>
      </c>
      <c r="H89">
        <v>128968</v>
      </c>
      <c r="I89">
        <v>23590</v>
      </c>
    </row>
    <row r="90" spans="1:9">
      <c r="A90" s="2">
        <v>44986</v>
      </c>
      <c r="B90">
        <v>2023</v>
      </c>
      <c r="C90" t="s">
        <v>11</v>
      </c>
      <c r="D90" t="s">
        <v>26</v>
      </c>
      <c r="E90" t="s">
        <v>30</v>
      </c>
      <c r="F90">
        <v>182</v>
      </c>
      <c r="G90">
        <v>399</v>
      </c>
      <c r="H90">
        <v>72618</v>
      </c>
      <c r="I90">
        <v>16553</v>
      </c>
    </row>
    <row r="91" spans="1:9">
      <c r="A91" s="2">
        <v>44986</v>
      </c>
      <c r="B91">
        <v>2023</v>
      </c>
      <c r="C91" t="s">
        <v>11</v>
      </c>
      <c r="D91" t="s">
        <v>26</v>
      </c>
      <c r="E91" t="s">
        <v>31</v>
      </c>
      <c r="F91">
        <v>283</v>
      </c>
      <c r="G91">
        <v>341</v>
      </c>
      <c r="H91">
        <v>96503</v>
      </c>
      <c r="I91">
        <v>12413</v>
      </c>
    </row>
    <row r="92" spans="1:9">
      <c r="A92" s="2">
        <v>45017</v>
      </c>
      <c r="B92">
        <v>2023</v>
      </c>
      <c r="C92" t="s">
        <v>12</v>
      </c>
      <c r="D92" t="s">
        <v>21</v>
      </c>
      <c r="E92" t="s">
        <v>27</v>
      </c>
      <c r="F92">
        <v>250</v>
      </c>
      <c r="G92">
        <v>1175</v>
      </c>
      <c r="H92">
        <v>293750</v>
      </c>
      <c r="I92">
        <v>36843</v>
      </c>
    </row>
    <row r="93" spans="1:9">
      <c r="A93" s="2">
        <v>45017</v>
      </c>
      <c r="B93">
        <v>2023</v>
      </c>
      <c r="C93" t="s">
        <v>12</v>
      </c>
      <c r="D93" t="s">
        <v>21</v>
      </c>
      <c r="E93" t="s">
        <v>28</v>
      </c>
      <c r="F93">
        <v>375</v>
      </c>
      <c r="G93">
        <v>1198</v>
      </c>
      <c r="H93">
        <v>449250</v>
      </c>
      <c r="I93">
        <v>101814</v>
      </c>
    </row>
    <row r="94" spans="1:9">
      <c r="A94" s="2">
        <v>45017</v>
      </c>
      <c r="B94">
        <v>2023</v>
      </c>
      <c r="C94" t="s">
        <v>12</v>
      </c>
      <c r="D94" t="s">
        <v>21</v>
      </c>
      <c r="E94" t="s">
        <v>29</v>
      </c>
      <c r="F94">
        <v>263</v>
      </c>
      <c r="G94">
        <v>1109</v>
      </c>
      <c r="H94">
        <v>291667</v>
      </c>
      <c r="I94">
        <v>56073</v>
      </c>
    </row>
    <row r="95" spans="1:9">
      <c r="A95" s="2">
        <v>45017</v>
      </c>
      <c r="B95">
        <v>2023</v>
      </c>
      <c r="C95" t="s">
        <v>12</v>
      </c>
      <c r="D95" t="s">
        <v>21</v>
      </c>
      <c r="E95" t="s">
        <v>30</v>
      </c>
      <c r="F95">
        <v>239</v>
      </c>
      <c r="G95">
        <v>1122</v>
      </c>
      <c r="H95">
        <v>268158</v>
      </c>
      <c r="I95">
        <v>47664</v>
      </c>
    </row>
    <row r="96" spans="1:9">
      <c r="A96" s="2">
        <v>45017</v>
      </c>
      <c r="B96">
        <v>2023</v>
      </c>
      <c r="C96" t="s">
        <v>12</v>
      </c>
      <c r="D96" t="s">
        <v>21</v>
      </c>
      <c r="E96" t="s">
        <v>31</v>
      </c>
      <c r="F96">
        <v>367</v>
      </c>
      <c r="G96">
        <v>1334</v>
      </c>
      <c r="H96">
        <v>489578</v>
      </c>
      <c r="I96">
        <v>58990</v>
      </c>
    </row>
    <row r="97" spans="1:9">
      <c r="A97" s="2">
        <v>45017</v>
      </c>
      <c r="B97">
        <v>2023</v>
      </c>
      <c r="C97" t="s">
        <v>12</v>
      </c>
      <c r="D97" t="s">
        <v>22</v>
      </c>
      <c r="E97" t="s">
        <v>27</v>
      </c>
      <c r="F97">
        <v>339</v>
      </c>
      <c r="G97">
        <v>791</v>
      </c>
      <c r="H97">
        <v>268149</v>
      </c>
      <c r="I97">
        <v>38623</v>
      </c>
    </row>
    <row r="98" spans="1:9">
      <c r="A98" s="2">
        <v>45017</v>
      </c>
      <c r="B98">
        <v>2023</v>
      </c>
      <c r="C98" t="s">
        <v>12</v>
      </c>
      <c r="D98" t="s">
        <v>22</v>
      </c>
      <c r="E98" t="s">
        <v>28</v>
      </c>
      <c r="F98">
        <v>340</v>
      </c>
      <c r="G98">
        <v>803</v>
      </c>
      <c r="H98">
        <v>273020</v>
      </c>
      <c r="I98">
        <v>37794</v>
      </c>
    </row>
    <row r="99" spans="1:9">
      <c r="A99" s="2">
        <v>45017</v>
      </c>
      <c r="B99">
        <v>2023</v>
      </c>
      <c r="C99" t="s">
        <v>12</v>
      </c>
      <c r="D99" t="s">
        <v>22</v>
      </c>
      <c r="E99" t="s">
        <v>29</v>
      </c>
      <c r="F99">
        <v>95</v>
      </c>
      <c r="G99">
        <v>736</v>
      </c>
      <c r="H99">
        <v>69920</v>
      </c>
      <c r="I99">
        <v>7046</v>
      </c>
    </row>
    <row r="100" spans="1:9">
      <c r="A100" s="2">
        <v>45017</v>
      </c>
      <c r="B100">
        <v>2023</v>
      </c>
      <c r="C100" t="s">
        <v>12</v>
      </c>
      <c r="D100" t="s">
        <v>22</v>
      </c>
      <c r="E100" t="s">
        <v>30</v>
      </c>
      <c r="F100">
        <v>119</v>
      </c>
      <c r="G100">
        <v>879</v>
      </c>
      <c r="H100">
        <v>104601</v>
      </c>
      <c r="I100">
        <v>20658</v>
      </c>
    </row>
    <row r="101" spans="1:9">
      <c r="A101" s="2">
        <v>45017</v>
      </c>
      <c r="B101">
        <v>2023</v>
      </c>
      <c r="C101" t="s">
        <v>12</v>
      </c>
      <c r="D101" t="s">
        <v>22</v>
      </c>
      <c r="E101" t="s">
        <v>31</v>
      </c>
      <c r="F101">
        <v>230</v>
      </c>
      <c r="G101">
        <v>898</v>
      </c>
      <c r="H101">
        <v>206540</v>
      </c>
      <c r="I101">
        <v>31125</v>
      </c>
    </row>
    <row r="102" spans="1:9">
      <c r="A102" s="2">
        <v>45017</v>
      </c>
      <c r="B102">
        <v>2023</v>
      </c>
      <c r="C102" t="s">
        <v>12</v>
      </c>
      <c r="D102" t="s">
        <v>23</v>
      </c>
      <c r="E102" t="s">
        <v>27</v>
      </c>
      <c r="F102">
        <v>178</v>
      </c>
      <c r="G102">
        <v>125</v>
      </c>
      <c r="H102">
        <v>22250</v>
      </c>
      <c r="I102">
        <v>3688</v>
      </c>
    </row>
    <row r="103" spans="1:9">
      <c r="A103" s="2">
        <v>45017</v>
      </c>
      <c r="B103">
        <v>2023</v>
      </c>
      <c r="C103" t="s">
        <v>12</v>
      </c>
      <c r="D103" t="s">
        <v>23</v>
      </c>
      <c r="E103" t="s">
        <v>28</v>
      </c>
      <c r="F103">
        <v>135</v>
      </c>
      <c r="G103">
        <v>121</v>
      </c>
      <c r="H103">
        <v>16335</v>
      </c>
      <c r="I103">
        <v>2963</v>
      </c>
    </row>
    <row r="104" spans="1:9">
      <c r="A104" s="2">
        <v>45017</v>
      </c>
      <c r="B104">
        <v>2023</v>
      </c>
      <c r="C104" t="s">
        <v>12</v>
      </c>
      <c r="D104" t="s">
        <v>23</v>
      </c>
      <c r="E104" t="s">
        <v>29</v>
      </c>
      <c r="F104">
        <v>212</v>
      </c>
      <c r="G104">
        <v>133</v>
      </c>
      <c r="H104">
        <v>28196</v>
      </c>
      <c r="I104">
        <v>6458</v>
      </c>
    </row>
    <row r="105" spans="1:9">
      <c r="A105" s="2">
        <v>45017</v>
      </c>
      <c r="B105">
        <v>2023</v>
      </c>
      <c r="C105" t="s">
        <v>12</v>
      </c>
      <c r="D105" t="s">
        <v>23</v>
      </c>
      <c r="E105" t="s">
        <v>30</v>
      </c>
      <c r="F105">
        <v>400</v>
      </c>
      <c r="G105">
        <v>109</v>
      </c>
      <c r="H105">
        <v>43600</v>
      </c>
      <c r="I105">
        <v>9739</v>
      </c>
    </row>
    <row r="106" spans="1:9">
      <c r="A106" s="2">
        <v>45017</v>
      </c>
      <c r="B106">
        <v>2023</v>
      </c>
      <c r="C106" t="s">
        <v>12</v>
      </c>
      <c r="D106" t="s">
        <v>23</v>
      </c>
      <c r="E106" t="s">
        <v>31</v>
      </c>
      <c r="F106">
        <v>138</v>
      </c>
      <c r="G106">
        <v>124</v>
      </c>
      <c r="H106">
        <v>17112</v>
      </c>
      <c r="I106">
        <v>2549</v>
      </c>
    </row>
    <row r="107" spans="1:9">
      <c r="A107" s="2">
        <v>45017</v>
      </c>
      <c r="B107">
        <v>2023</v>
      </c>
      <c r="C107" t="s">
        <v>12</v>
      </c>
      <c r="D107" t="s">
        <v>24</v>
      </c>
      <c r="E107" t="s">
        <v>27</v>
      </c>
      <c r="F107">
        <v>357</v>
      </c>
      <c r="G107">
        <v>655</v>
      </c>
      <c r="H107">
        <v>233835</v>
      </c>
      <c r="I107">
        <v>30953</v>
      </c>
    </row>
    <row r="108" spans="1:9">
      <c r="A108" s="2">
        <v>45017</v>
      </c>
      <c r="B108">
        <v>2023</v>
      </c>
      <c r="C108" t="s">
        <v>12</v>
      </c>
      <c r="D108" t="s">
        <v>24</v>
      </c>
      <c r="E108" t="s">
        <v>28</v>
      </c>
      <c r="F108">
        <v>87</v>
      </c>
      <c r="G108">
        <v>608</v>
      </c>
      <c r="H108">
        <v>52896</v>
      </c>
      <c r="I108">
        <v>11970</v>
      </c>
    </row>
    <row r="109" spans="1:9">
      <c r="A109" s="2">
        <v>45017</v>
      </c>
      <c r="B109">
        <v>2023</v>
      </c>
      <c r="C109" t="s">
        <v>12</v>
      </c>
      <c r="D109" t="s">
        <v>24</v>
      </c>
      <c r="E109" t="s">
        <v>29</v>
      </c>
      <c r="F109">
        <v>131</v>
      </c>
      <c r="G109">
        <v>644</v>
      </c>
      <c r="H109">
        <v>84364</v>
      </c>
      <c r="I109">
        <v>10187</v>
      </c>
    </row>
    <row r="110" spans="1:9">
      <c r="A110" s="2">
        <v>45017</v>
      </c>
      <c r="B110">
        <v>2023</v>
      </c>
      <c r="C110" t="s">
        <v>12</v>
      </c>
      <c r="D110" t="s">
        <v>24</v>
      </c>
      <c r="E110" t="s">
        <v>30</v>
      </c>
      <c r="F110">
        <v>232</v>
      </c>
      <c r="G110">
        <v>686</v>
      </c>
      <c r="H110">
        <v>159152</v>
      </c>
      <c r="I110">
        <v>28240</v>
      </c>
    </row>
    <row r="111" spans="1:9">
      <c r="A111" s="2">
        <v>45017</v>
      </c>
      <c r="B111">
        <v>2023</v>
      </c>
      <c r="C111" t="s">
        <v>12</v>
      </c>
      <c r="D111" t="s">
        <v>24</v>
      </c>
      <c r="E111" t="s">
        <v>31</v>
      </c>
      <c r="F111">
        <v>247</v>
      </c>
      <c r="G111">
        <v>546</v>
      </c>
      <c r="H111">
        <v>134862</v>
      </c>
      <c r="I111">
        <v>21554</v>
      </c>
    </row>
    <row r="112" spans="1:9">
      <c r="A112" s="2">
        <v>45017</v>
      </c>
      <c r="B112">
        <v>2023</v>
      </c>
      <c r="C112" t="s">
        <v>12</v>
      </c>
      <c r="D112" t="s">
        <v>25</v>
      </c>
      <c r="E112" t="s">
        <v>27</v>
      </c>
      <c r="F112">
        <v>369</v>
      </c>
      <c r="G112">
        <v>252</v>
      </c>
      <c r="H112">
        <v>92988</v>
      </c>
      <c r="I112">
        <v>10393</v>
      </c>
    </row>
    <row r="113" spans="1:9">
      <c r="A113" s="2">
        <v>45017</v>
      </c>
      <c r="B113">
        <v>2023</v>
      </c>
      <c r="C113" t="s">
        <v>12</v>
      </c>
      <c r="D113" t="s">
        <v>25</v>
      </c>
      <c r="E113" t="s">
        <v>28</v>
      </c>
      <c r="F113">
        <v>321</v>
      </c>
      <c r="G113">
        <v>236</v>
      </c>
      <c r="H113">
        <v>75756</v>
      </c>
      <c r="I113">
        <v>8494</v>
      </c>
    </row>
    <row r="114" spans="1:9">
      <c r="A114" s="2">
        <v>45017</v>
      </c>
      <c r="B114">
        <v>2023</v>
      </c>
      <c r="C114" t="s">
        <v>12</v>
      </c>
      <c r="D114" t="s">
        <v>25</v>
      </c>
      <c r="E114" t="s">
        <v>29</v>
      </c>
      <c r="F114">
        <v>214</v>
      </c>
      <c r="G114">
        <v>268</v>
      </c>
      <c r="H114">
        <v>57352</v>
      </c>
      <c r="I114">
        <v>9253</v>
      </c>
    </row>
    <row r="115" spans="1:9">
      <c r="A115" s="2">
        <v>45017</v>
      </c>
      <c r="B115">
        <v>2023</v>
      </c>
      <c r="C115" t="s">
        <v>12</v>
      </c>
      <c r="D115" t="s">
        <v>25</v>
      </c>
      <c r="E115" t="s">
        <v>30</v>
      </c>
      <c r="F115">
        <v>142</v>
      </c>
      <c r="G115">
        <v>282</v>
      </c>
      <c r="H115">
        <v>40044</v>
      </c>
      <c r="I115">
        <v>6661</v>
      </c>
    </row>
    <row r="116" spans="1:9">
      <c r="A116" s="2">
        <v>45017</v>
      </c>
      <c r="B116">
        <v>2023</v>
      </c>
      <c r="C116" t="s">
        <v>12</v>
      </c>
      <c r="D116" t="s">
        <v>25</v>
      </c>
      <c r="E116" t="s">
        <v>31</v>
      </c>
      <c r="F116">
        <v>182</v>
      </c>
      <c r="G116">
        <v>259</v>
      </c>
      <c r="H116">
        <v>47138</v>
      </c>
      <c r="I116">
        <v>9766</v>
      </c>
    </row>
    <row r="117" spans="1:9">
      <c r="A117" s="2">
        <v>45017</v>
      </c>
      <c r="B117">
        <v>2023</v>
      </c>
      <c r="C117" t="s">
        <v>12</v>
      </c>
      <c r="D117" t="s">
        <v>26</v>
      </c>
      <c r="E117" t="s">
        <v>27</v>
      </c>
      <c r="F117">
        <v>329</v>
      </c>
      <c r="G117">
        <v>339</v>
      </c>
      <c r="H117">
        <v>111531</v>
      </c>
      <c r="I117">
        <v>27127</v>
      </c>
    </row>
    <row r="118" spans="1:9">
      <c r="A118" s="2">
        <v>45017</v>
      </c>
      <c r="B118">
        <v>2023</v>
      </c>
      <c r="C118" t="s">
        <v>12</v>
      </c>
      <c r="D118" t="s">
        <v>26</v>
      </c>
      <c r="E118" t="s">
        <v>28</v>
      </c>
      <c r="F118">
        <v>282</v>
      </c>
      <c r="G118">
        <v>363</v>
      </c>
      <c r="H118">
        <v>102366</v>
      </c>
      <c r="I118">
        <v>19629</v>
      </c>
    </row>
    <row r="119" spans="1:9">
      <c r="A119" s="2">
        <v>45017</v>
      </c>
      <c r="B119">
        <v>2023</v>
      </c>
      <c r="C119" t="s">
        <v>12</v>
      </c>
      <c r="D119" t="s">
        <v>26</v>
      </c>
      <c r="E119" t="s">
        <v>29</v>
      </c>
      <c r="F119">
        <v>340</v>
      </c>
      <c r="G119">
        <v>319</v>
      </c>
      <c r="H119">
        <v>108460</v>
      </c>
      <c r="I119">
        <v>20054</v>
      </c>
    </row>
    <row r="120" spans="1:9">
      <c r="A120" s="2">
        <v>45017</v>
      </c>
      <c r="B120">
        <v>2023</v>
      </c>
      <c r="C120" t="s">
        <v>12</v>
      </c>
      <c r="D120" t="s">
        <v>26</v>
      </c>
      <c r="E120" t="s">
        <v>30</v>
      </c>
      <c r="F120">
        <v>172</v>
      </c>
      <c r="G120">
        <v>316</v>
      </c>
      <c r="H120">
        <v>54352</v>
      </c>
      <c r="I120">
        <v>6381</v>
      </c>
    </row>
    <row r="121" spans="1:9">
      <c r="A121" s="2">
        <v>45017</v>
      </c>
      <c r="B121">
        <v>2023</v>
      </c>
      <c r="C121" t="s">
        <v>12</v>
      </c>
      <c r="D121" t="s">
        <v>26</v>
      </c>
      <c r="E121" t="s">
        <v>31</v>
      </c>
      <c r="F121">
        <v>154</v>
      </c>
      <c r="G121">
        <v>323</v>
      </c>
      <c r="H121">
        <v>49742</v>
      </c>
      <c r="I121">
        <v>7297</v>
      </c>
    </row>
    <row r="122" spans="1:9">
      <c r="A122" s="2">
        <v>45047</v>
      </c>
      <c r="B122">
        <v>2023</v>
      </c>
      <c r="C122" t="s">
        <v>13</v>
      </c>
      <c r="D122" t="s">
        <v>21</v>
      </c>
      <c r="E122" t="s">
        <v>27</v>
      </c>
      <c r="F122">
        <v>290</v>
      </c>
      <c r="G122">
        <v>1085</v>
      </c>
      <c r="H122">
        <v>314650</v>
      </c>
      <c r="I122">
        <v>67493</v>
      </c>
    </row>
    <row r="123" spans="1:9">
      <c r="A123" s="2">
        <v>45047</v>
      </c>
      <c r="B123">
        <v>2023</v>
      </c>
      <c r="C123" t="s">
        <v>13</v>
      </c>
      <c r="D123" t="s">
        <v>21</v>
      </c>
      <c r="E123" t="s">
        <v>28</v>
      </c>
      <c r="F123">
        <v>120</v>
      </c>
      <c r="G123">
        <v>1183</v>
      </c>
      <c r="H123">
        <v>141960</v>
      </c>
      <c r="I123">
        <v>24090</v>
      </c>
    </row>
    <row r="124" spans="1:9">
      <c r="A124" s="2">
        <v>45047</v>
      </c>
      <c r="B124">
        <v>2023</v>
      </c>
      <c r="C124" t="s">
        <v>13</v>
      </c>
      <c r="D124" t="s">
        <v>21</v>
      </c>
      <c r="E124" t="s">
        <v>29</v>
      </c>
      <c r="F124">
        <v>104</v>
      </c>
      <c r="G124">
        <v>1094</v>
      </c>
      <c r="H124">
        <v>113776</v>
      </c>
      <c r="I124">
        <v>27576</v>
      </c>
    </row>
    <row r="125" spans="1:9">
      <c r="A125" s="2">
        <v>45047</v>
      </c>
      <c r="B125">
        <v>2023</v>
      </c>
      <c r="C125" t="s">
        <v>13</v>
      </c>
      <c r="D125" t="s">
        <v>21</v>
      </c>
      <c r="E125" t="s">
        <v>30</v>
      </c>
      <c r="F125">
        <v>183</v>
      </c>
      <c r="G125">
        <v>1093</v>
      </c>
      <c r="H125">
        <v>200019</v>
      </c>
      <c r="I125">
        <v>31241</v>
      </c>
    </row>
    <row r="126" spans="1:9">
      <c r="A126" s="2">
        <v>45047</v>
      </c>
      <c r="B126">
        <v>2023</v>
      </c>
      <c r="C126" t="s">
        <v>13</v>
      </c>
      <c r="D126" t="s">
        <v>21</v>
      </c>
      <c r="E126" t="s">
        <v>31</v>
      </c>
      <c r="F126">
        <v>337</v>
      </c>
      <c r="G126">
        <v>1360</v>
      </c>
      <c r="H126">
        <v>458320</v>
      </c>
      <c r="I126">
        <v>80277</v>
      </c>
    </row>
    <row r="127" spans="1:9">
      <c r="A127" s="2">
        <v>45047</v>
      </c>
      <c r="B127">
        <v>2023</v>
      </c>
      <c r="C127" t="s">
        <v>13</v>
      </c>
      <c r="D127" t="s">
        <v>22</v>
      </c>
      <c r="E127" t="s">
        <v>27</v>
      </c>
      <c r="F127">
        <v>85</v>
      </c>
      <c r="G127">
        <v>843</v>
      </c>
      <c r="H127">
        <v>71655</v>
      </c>
      <c r="I127">
        <v>17310</v>
      </c>
    </row>
    <row r="128" spans="1:9">
      <c r="A128" s="2">
        <v>45047</v>
      </c>
      <c r="B128">
        <v>2023</v>
      </c>
      <c r="C128" t="s">
        <v>13</v>
      </c>
      <c r="D128" t="s">
        <v>22</v>
      </c>
      <c r="E128" t="s">
        <v>28</v>
      </c>
      <c r="F128">
        <v>345</v>
      </c>
      <c r="G128">
        <v>725</v>
      </c>
      <c r="H128">
        <v>250125</v>
      </c>
      <c r="I128">
        <v>46990</v>
      </c>
    </row>
    <row r="129" spans="1:9">
      <c r="A129" s="2">
        <v>45047</v>
      </c>
      <c r="B129">
        <v>2023</v>
      </c>
      <c r="C129" t="s">
        <v>13</v>
      </c>
      <c r="D129" t="s">
        <v>22</v>
      </c>
      <c r="E129" t="s">
        <v>29</v>
      </c>
      <c r="F129">
        <v>236</v>
      </c>
      <c r="G129">
        <v>855</v>
      </c>
      <c r="H129">
        <v>201780</v>
      </c>
      <c r="I129">
        <v>37532</v>
      </c>
    </row>
    <row r="130" spans="1:9">
      <c r="A130" s="2">
        <v>45047</v>
      </c>
      <c r="B130">
        <v>2023</v>
      </c>
      <c r="C130" t="s">
        <v>13</v>
      </c>
      <c r="D130" t="s">
        <v>22</v>
      </c>
      <c r="E130" t="s">
        <v>30</v>
      </c>
      <c r="F130">
        <v>114</v>
      </c>
      <c r="G130">
        <v>811</v>
      </c>
      <c r="H130">
        <v>92454</v>
      </c>
      <c r="I130">
        <v>16812</v>
      </c>
    </row>
    <row r="131" spans="1:9">
      <c r="A131" s="2">
        <v>45047</v>
      </c>
      <c r="B131">
        <v>2023</v>
      </c>
      <c r="C131" t="s">
        <v>13</v>
      </c>
      <c r="D131" t="s">
        <v>22</v>
      </c>
      <c r="E131" t="s">
        <v>31</v>
      </c>
      <c r="F131">
        <v>184</v>
      </c>
      <c r="G131">
        <v>845</v>
      </c>
      <c r="H131">
        <v>155480</v>
      </c>
      <c r="I131">
        <v>34681</v>
      </c>
    </row>
    <row r="132" spans="1:9">
      <c r="A132" s="2">
        <v>45047</v>
      </c>
      <c r="B132">
        <v>2023</v>
      </c>
      <c r="C132" t="s">
        <v>13</v>
      </c>
      <c r="D132" t="s">
        <v>23</v>
      </c>
      <c r="E132" t="s">
        <v>27</v>
      </c>
      <c r="F132">
        <v>253</v>
      </c>
      <c r="G132">
        <v>135</v>
      </c>
      <c r="H132">
        <v>34155</v>
      </c>
      <c r="I132">
        <v>4418</v>
      </c>
    </row>
    <row r="133" spans="1:9">
      <c r="A133" s="2">
        <v>45047</v>
      </c>
      <c r="B133">
        <v>2023</v>
      </c>
      <c r="C133" t="s">
        <v>13</v>
      </c>
      <c r="D133" t="s">
        <v>23</v>
      </c>
      <c r="E133" t="s">
        <v>28</v>
      </c>
      <c r="F133">
        <v>93</v>
      </c>
      <c r="G133">
        <v>111</v>
      </c>
      <c r="H133">
        <v>10323</v>
      </c>
      <c r="I133">
        <v>1060</v>
      </c>
    </row>
    <row r="134" spans="1:9">
      <c r="A134" s="2">
        <v>45047</v>
      </c>
      <c r="B134">
        <v>2023</v>
      </c>
      <c r="C134" t="s">
        <v>13</v>
      </c>
      <c r="D134" t="s">
        <v>23</v>
      </c>
      <c r="E134" t="s">
        <v>29</v>
      </c>
      <c r="F134">
        <v>329</v>
      </c>
      <c r="G134">
        <v>128</v>
      </c>
      <c r="H134">
        <v>42112</v>
      </c>
      <c r="I134">
        <v>4660</v>
      </c>
    </row>
    <row r="135" spans="1:9">
      <c r="A135" s="2">
        <v>45047</v>
      </c>
      <c r="B135">
        <v>2023</v>
      </c>
      <c r="C135" t="s">
        <v>13</v>
      </c>
      <c r="D135" t="s">
        <v>23</v>
      </c>
      <c r="E135" t="s">
        <v>30</v>
      </c>
      <c r="F135">
        <v>351</v>
      </c>
      <c r="G135">
        <v>119</v>
      </c>
      <c r="H135">
        <v>41769</v>
      </c>
      <c r="I135">
        <v>8447</v>
      </c>
    </row>
    <row r="136" spans="1:9">
      <c r="A136" s="2">
        <v>45047</v>
      </c>
      <c r="B136">
        <v>2023</v>
      </c>
      <c r="C136" t="s">
        <v>13</v>
      </c>
      <c r="D136" t="s">
        <v>23</v>
      </c>
      <c r="E136" t="s">
        <v>31</v>
      </c>
      <c r="F136">
        <v>198</v>
      </c>
      <c r="G136">
        <v>116</v>
      </c>
      <c r="H136">
        <v>22968</v>
      </c>
      <c r="I136">
        <v>2703</v>
      </c>
    </row>
    <row r="137" spans="1:9">
      <c r="A137" s="2">
        <v>45047</v>
      </c>
      <c r="B137">
        <v>2023</v>
      </c>
      <c r="C137" t="s">
        <v>13</v>
      </c>
      <c r="D137" t="s">
        <v>24</v>
      </c>
      <c r="E137" t="s">
        <v>27</v>
      </c>
      <c r="F137">
        <v>197</v>
      </c>
      <c r="G137">
        <v>634</v>
      </c>
      <c r="H137">
        <v>124898</v>
      </c>
      <c r="I137">
        <v>28928</v>
      </c>
    </row>
    <row r="138" spans="1:9">
      <c r="A138" s="2">
        <v>45047</v>
      </c>
      <c r="B138">
        <v>2023</v>
      </c>
      <c r="C138" t="s">
        <v>13</v>
      </c>
      <c r="D138" t="s">
        <v>24</v>
      </c>
      <c r="E138" t="s">
        <v>28</v>
      </c>
      <c r="F138">
        <v>303</v>
      </c>
      <c r="G138">
        <v>660</v>
      </c>
      <c r="H138">
        <v>199980</v>
      </c>
      <c r="I138">
        <v>28458</v>
      </c>
    </row>
    <row r="139" spans="1:9">
      <c r="A139" s="2">
        <v>45047</v>
      </c>
      <c r="B139">
        <v>2023</v>
      </c>
      <c r="C139" t="s">
        <v>13</v>
      </c>
      <c r="D139" t="s">
        <v>24</v>
      </c>
      <c r="E139" t="s">
        <v>29</v>
      </c>
      <c r="F139">
        <v>277</v>
      </c>
      <c r="G139">
        <v>626</v>
      </c>
      <c r="H139">
        <v>173402</v>
      </c>
      <c r="I139">
        <v>36370</v>
      </c>
    </row>
    <row r="140" spans="1:9">
      <c r="A140" s="2">
        <v>45047</v>
      </c>
      <c r="B140">
        <v>2023</v>
      </c>
      <c r="C140" t="s">
        <v>13</v>
      </c>
      <c r="D140" t="s">
        <v>24</v>
      </c>
      <c r="E140" t="s">
        <v>30</v>
      </c>
      <c r="F140">
        <v>117</v>
      </c>
      <c r="G140">
        <v>595</v>
      </c>
      <c r="H140">
        <v>69615</v>
      </c>
      <c r="I140">
        <v>15068</v>
      </c>
    </row>
    <row r="141" spans="1:9">
      <c r="A141" s="2">
        <v>45047</v>
      </c>
      <c r="B141">
        <v>2023</v>
      </c>
      <c r="C141" t="s">
        <v>13</v>
      </c>
      <c r="D141" t="s">
        <v>24</v>
      </c>
      <c r="E141" t="s">
        <v>31</v>
      </c>
      <c r="F141">
        <v>236</v>
      </c>
      <c r="G141">
        <v>670</v>
      </c>
      <c r="H141">
        <v>158120</v>
      </c>
      <c r="I141">
        <v>29138</v>
      </c>
    </row>
    <row r="142" spans="1:9">
      <c r="A142" s="2">
        <v>45047</v>
      </c>
      <c r="B142">
        <v>2023</v>
      </c>
      <c r="C142" t="s">
        <v>13</v>
      </c>
      <c r="D142" t="s">
        <v>25</v>
      </c>
      <c r="E142" t="s">
        <v>27</v>
      </c>
      <c r="F142">
        <v>355</v>
      </c>
      <c r="G142">
        <v>251</v>
      </c>
      <c r="H142">
        <v>89105</v>
      </c>
      <c r="I142">
        <v>18946</v>
      </c>
    </row>
    <row r="143" spans="1:9">
      <c r="A143" s="2">
        <v>45047</v>
      </c>
      <c r="B143">
        <v>2023</v>
      </c>
      <c r="C143" t="s">
        <v>13</v>
      </c>
      <c r="D143" t="s">
        <v>25</v>
      </c>
      <c r="E143" t="s">
        <v>28</v>
      </c>
      <c r="F143">
        <v>303</v>
      </c>
      <c r="G143">
        <v>239</v>
      </c>
      <c r="H143">
        <v>72417</v>
      </c>
      <c r="I143">
        <v>11344</v>
      </c>
    </row>
    <row r="144" spans="1:9">
      <c r="A144" s="2">
        <v>45047</v>
      </c>
      <c r="B144">
        <v>2023</v>
      </c>
      <c r="C144" t="s">
        <v>13</v>
      </c>
      <c r="D144" t="s">
        <v>25</v>
      </c>
      <c r="E144" t="s">
        <v>29</v>
      </c>
      <c r="F144">
        <v>144</v>
      </c>
      <c r="G144">
        <v>256</v>
      </c>
      <c r="H144">
        <v>36864</v>
      </c>
      <c r="I144">
        <v>5840</v>
      </c>
    </row>
    <row r="145" spans="1:9">
      <c r="A145" s="2">
        <v>45047</v>
      </c>
      <c r="B145">
        <v>2023</v>
      </c>
      <c r="C145" t="s">
        <v>13</v>
      </c>
      <c r="D145" t="s">
        <v>25</v>
      </c>
      <c r="E145" t="s">
        <v>30</v>
      </c>
      <c r="F145">
        <v>272</v>
      </c>
      <c r="G145">
        <v>231</v>
      </c>
      <c r="H145">
        <v>62832</v>
      </c>
      <c r="I145">
        <v>6787</v>
      </c>
    </row>
    <row r="146" spans="1:9">
      <c r="A146" s="2">
        <v>45047</v>
      </c>
      <c r="B146">
        <v>2023</v>
      </c>
      <c r="C146" t="s">
        <v>13</v>
      </c>
      <c r="D146" t="s">
        <v>25</v>
      </c>
      <c r="E146" t="s">
        <v>31</v>
      </c>
      <c r="F146">
        <v>319</v>
      </c>
      <c r="G146">
        <v>277</v>
      </c>
      <c r="H146">
        <v>88363</v>
      </c>
      <c r="I146">
        <v>13540</v>
      </c>
    </row>
    <row r="147" spans="1:9">
      <c r="A147" s="2">
        <v>45047</v>
      </c>
      <c r="B147">
        <v>2023</v>
      </c>
      <c r="C147" t="s">
        <v>13</v>
      </c>
      <c r="D147" t="s">
        <v>26</v>
      </c>
      <c r="E147" t="s">
        <v>27</v>
      </c>
      <c r="F147">
        <v>372</v>
      </c>
      <c r="G147">
        <v>398</v>
      </c>
      <c r="H147">
        <v>148056</v>
      </c>
      <c r="I147">
        <v>35917</v>
      </c>
    </row>
    <row r="148" spans="1:9">
      <c r="A148" s="2">
        <v>45047</v>
      </c>
      <c r="B148">
        <v>2023</v>
      </c>
      <c r="C148" t="s">
        <v>13</v>
      </c>
      <c r="D148" t="s">
        <v>26</v>
      </c>
      <c r="E148" t="s">
        <v>28</v>
      </c>
      <c r="F148">
        <v>228</v>
      </c>
      <c r="G148">
        <v>354</v>
      </c>
      <c r="H148">
        <v>80712</v>
      </c>
      <c r="I148">
        <v>11621</v>
      </c>
    </row>
    <row r="149" spans="1:9">
      <c r="A149" s="2">
        <v>45047</v>
      </c>
      <c r="B149">
        <v>2023</v>
      </c>
      <c r="C149" t="s">
        <v>13</v>
      </c>
      <c r="D149" t="s">
        <v>26</v>
      </c>
      <c r="E149" t="s">
        <v>29</v>
      </c>
      <c r="F149">
        <v>106</v>
      </c>
      <c r="G149">
        <v>363</v>
      </c>
      <c r="H149">
        <v>38478</v>
      </c>
      <c r="I149">
        <v>5075</v>
      </c>
    </row>
    <row r="150" spans="1:9">
      <c r="A150" s="2">
        <v>45047</v>
      </c>
      <c r="B150">
        <v>2023</v>
      </c>
      <c r="C150" t="s">
        <v>13</v>
      </c>
      <c r="D150" t="s">
        <v>26</v>
      </c>
      <c r="E150" t="s">
        <v>30</v>
      </c>
      <c r="F150">
        <v>135</v>
      </c>
      <c r="G150">
        <v>384</v>
      </c>
      <c r="H150">
        <v>51840</v>
      </c>
      <c r="I150">
        <v>11324</v>
      </c>
    </row>
    <row r="151" spans="1:9">
      <c r="A151" s="2">
        <v>45047</v>
      </c>
      <c r="B151">
        <v>2023</v>
      </c>
      <c r="C151" t="s">
        <v>13</v>
      </c>
      <c r="D151" t="s">
        <v>26</v>
      </c>
      <c r="E151" t="s">
        <v>31</v>
      </c>
      <c r="F151">
        <v>192</v>
      </c>
      <c r="G151">
        <v>396</v>
      </c>
      <c r="H151">
        <v>76032</v>
      </c>
      <c r="I151">
        <v>18714</v>
      </c>
    </row>
    <row r="152" spans="1:9">
      <c r="A152" s="2">
        <v>45078</v>
      </c>
      <c r="B152">
        <v>2023</v>
      </c>
      <c r="C152" t="s">
        <v>14</v>
      </c>
      <c r="D152" t="s">
        <v>21</v>
      </c>
      <c r="E152" t="s">
        <v>27</v>
      </c>
      <c r="F152">
        <v>302</v>
      </c>
      <c r="G152">
        <v>1096</v>
      </c>
      <c r="H152">
        <v>330992</v>
      </c>
      <c r="I152">
        <v>69692</v>
      </c>
    </row>
    <row r="153" spans="1:9">
      <c r="A153" s="2">
        <v>45078</v>
      </c>
      <c r="B153">
        <v>2023</v>
      </c>
      <c r="C153" t="s">
        <v>14</v>
      </c>
      <c r="D153" t="s">
        <v>21</v>
      </c>
      <c r="E153" t="s">
        <v>28</v>
      </c>
      <c r="F153">
        <v>300</v>
      </c>
      <c r="G153">
        <v>1185</v>
      </c>
      <c r="H153">
        <v>355500</v>
      </c>
      <c r="I153">
        <v>41792</v>
      </c>
    </row>
    <row r="154" spans="1:9">
      <c r="A154" s="2">
        <v>45078</v>
      </c>
      <c r="B154">
        <v>2023</v>
      </c>
      <c r="C154" t="s">
        <v>14</v>
      </c>
      <c r="D154" t="s">
        <v>21</v>
      </c>
      <c r="E154" t="s">
        <v>29</v>
      </c>
      <c r="F154">
        <v>155</v>
      </c>
      <c r="G154">
        <v>1286</v>
      </c>
      <c r="H154">
        <v>199330</v>
      </c>
      <c r="I154">
        <v>44957</v>
      </c>
    </row>
    <row r="155" spans="1:9">
      <c r="A155" s="2">
        <v>45078</v>
      </c>
      <c r="B155">
        <v>2023</v>
      </c>
      <c r="C155" t="s">
        <v>14</v>
      </c>
      <c r="D155" t="s">
        <v>21</v>
      </c>
      <c r="E155" t="s">
        <v>30</v>
      </c>
      <c r="F155">
        <v>332</v>
      </c>
      <c r="G155">
        <v>1331</v>
      </c>
      <c r="H155">
        <v>441892</v>
      </c>
      <c r="I155">
        <v>72432</v>
      </c>
    </row>
    <row r="156" spans="1:9">
      <c r="A156" s="2">
        <v>45078</v>
      </c>
      <c r="B156">
        <v>2023</v>
      </c>
      <c r="C156" t="s">
        <v>14</v>
      </c>
      <c r="D156" t="s">
        <v>21</v>
      </c>
      <c r="E156" t="s">
        <v>31</v>
      </c>
      <c r="F156">
        <v>247</v>
      </c>
      <c r="G156">
        <v>1101</v>
      </c>
      <c r="H156">
        <v>271947</v>
      </c>
      <c r="I156">
        <v>60720</v>
      </c>
    </row>
    <row r="157" spans="1:9">
      <c r="A157" s="2">
        <v>45078</v>
      </c>
      <c r="B157">
        <v>2023</v>
      </c>
      <c r="C157" t="s">
        <v>14</v>
      </c>
      <c r="D157" t="s">
        <v>22</v>
      </c>
      <c r="E157" t="s">
        <v>27</v>
      </c>
      <c r="F157">
        <v>201</v>
      </c>
      <c r="G157">
        <v>749</v>
      </c>
      <c r="H157">
        <v>150549</v>
      </c>
      <c r="I157">
        <v>26647</v>
      </c>
    </row>
    <row r="158" spans="1:9">
      <c r="A158" s="2">
        <v>45078</v>
      </c>
      <c r="B158">
        <v>2023</v>
      </c>
      <c r="C158" t="s">
        <v>14</v>
      </c>
      <c r="D158" t="s">
        <v>22</v>
      </c>
      <c r="E158" t="s">
        <v>28</v>
      </c>
      <c r="F158">
        <v>215</v>
      </c>
      <c r="G158">
        <v>794</v>
      </c>
      <c r="H158">
        <v>170710</v>
      </c>
      <c r="I158">
        <v>26561</v>
      </c>
    </row>
    <row r="159" spans="1:9">
      <c r="A159" s="2">
        <v>45078</v>
      </c>
      <c r="B159">
        <v>2023</v>
      </c>
      <c r="C159" t="s">
        <v>14</v>
      </c>
      <c r="D159" t="s">
        <v>22</v>
      </c>
      <c r="E159" t="s">
        <v>29</v>
      </c>
      <c r="F159">
        <v>224</v>
      </c>
      <c r="G159">
        <v>909</v>
      </c>
      <c r="H159">
        <v>203616</v>
      </c>
      <c r="I159">
        <v>50476</v>
      </c>
    </row>
    <row r="160" spans="1:9">
      <c r="A160" s="2">
        <v>45078</v>
      </c>
      <c r="B160">
        <v>2023</v>
      </c>
      <c r="C160" t="s">
        <v>14</v>
      </c>
      <c r="D160" t="s">
        <v>22</v>
      </c>
      <c r="E160" t="s">
        <v>30</v>
      </c>
      <c r="F160">
        <v>211</v>
      </c>
      <c r="G160">
        <v>790</v>
      </c>
      <c r="H160">
        <v>166690</v>
      </c>
      <c r="I160">
        <v>34376</v>
      </c>
    </row>
    <row r="161" spans="1:9">
      <c r="A161" s="2">
        <v>45078</v>
      </c>
      <c r="B161">
        <v>2023</v>
      </c>
      <c r="C161" t="s">
        <v>14</v>
      </c>
      <c r="D161" t="s">
        <v>22</v>
      </c>
      <c r="E161" t="s">
        <v>31</v>
      </c>
      <c r="F161">
        <v>354</v>
      </c>
      <c r="G161">
        <v>875</v>
      </c>
      <c r="H161">
        <v>309750</v>
      </c>
      <c r="I161">
        <v>56919</v>
      </c>
    </row>
    <row r="162" spans="1:9">
      <c r="A162" s="2">
        <v>45078</v>
      </c>
      <c r="B162">
        <v>2023</v>
      </c>
      <c r="C162" t="s">
        <v>14</v>
      </c>
      <c r="D162" t="s">
        <v>23</v>
      </c>
      <c r="E162" t="s">
        <v>27</v>
      </c>
      <c r="F162">
        <v>170</v>
      </c>
      <c r="G162">
        <v>115</v>
      </c>
      <c r="H162">
        <v>19550</v>
      </c>
      <c r="I162">
        <v>2923</v>
      </c>
    </row>
    <row r="163" spans="1:9">
      <c r="A163" s="2">
        <v>45078</v>
      </c>
      <c r="B163">
        <v>2023</v>
      </c>
      <c r="C163" t="s">
        <v>14</v>
      </c>
      <c r="D163" t="s">
        <v>23</v>
      </c>
      <c r="E163" t="s">
        <v>28</v>
      </c>
      <c r="F163">
        <v>205</v>
      </c>
      <c r="G163">
        <v>122</v>
      </c>
      <c r="H163">
        <v>25010</v>
      </c>
      <c r="I163">
        <v>2543</v>
      </c>
    </row>
    <row r="164" spans="1:9">
      <c r="A164" s="2">
        <v>45078</v>
      </c>
      <c r="B164">
        <v>2023</v>
      </c>
      <c r="C164" t="s">
        <v>14</v>
      </c>
      <c r="D164" t="s">
        <v>23</v>
      </c>
      <c r="E164" t="s">
        <v>29</v>
      </c>
      <c r="F164">
        <v>299</v>
      </c>
      <c r="G164">
        <v>125</v>
      </c>
      <c r="H164">
        <v>37375</v>
      </c>
      <c r="I164">
        <v>7891</v>
      </c>
    </row>
    <row r="165" spans="1:9">
      <c r="A165" s="2">
        <v>45078</v>
      </c>
      <c r="B165">
        <v>2023</v>
      </c>
      <c r="C165" t="s">
        <v>14</v>
      </c>
      <c r="D165" t="s">
        <v>23</v>
      </c>
      <c r="E165" t="s">
        <v>30</v>
      </c>
      <c r="F165">
        <v>396</v>
      </c>
      <c r="G165">
        <v>132</v>
      </c>
      <c r="H165">
        <v>52272</v>
      </c>
      <c r="I165">
        <v>11062</v>
      </c>
    </row>
    <row r="166" spans="1:9">
      <c r="A166" s="2">
        <v>45078</v>
      </c>
      <c r="B166">
        <v>2023</v>
      </c>
      <c r="C166" t="s">
        <v>14</v>
      </c>
      <c r="D166" t="s">
        <v>23</v>
      </c>
      <c r="E166" t="s">
        <v>31</v>
      </c>
      <c r="F166">
        <v>269</v>
      </c>
      <c r="G166">
        <v>120</v>
      </c>
      <c r="H166">
        <v>32280</v>
      </c>
      <c r="I166">
        <v>5541</v>
      </c>
    </row>
    <row r="167" spans="1:9">
      <c r="A167" s="2">
        <v>45078</v>
      </c>
      <c r="B167">
        <v>2023</v>
      </c>
      <c r="C167" t="s">
        <v>14</v>
      </c>
      <c r="D167" t="s">
        <v>24</v>
      </c>
      <c r="E167" t="s">
        <v>27</v>
      </c>
      <c r="F167">
        <v>391</v>
      </c>
      <c r="G167">
        <v>619</v>
      </c>
      <c r="H167">
        <v>242029</v>
      </c>
      <c r="I167">
        <v>40043</v>
      </c>
    </row>
    <row r="168" spans="1:9">
      <c r="A168" s="2">
        <v>45078</v>
      </c>
      <c r="B168">
        <v>2023</v>
      </c>
      <c r="C168" t="s">
        <v>14</v>
      </c>
      <c r="D168" t="s">
        <v>24</v>
      </c>
      <c r="E168" t="s">
        <v>28</v>
      </c>
      <c r="F168">
        <v>137</v>
      </c>
      <c r="G168">
        <v>541</v>
      </c>
      <c r="H168">
        <v>74117</v>
      </c>
      <c r="I168">
        <v>18194</v>
      </c>
    </row>
    <row r="169" spans="1:9">
      <c r="A169" s="2">
        <v>45078</v>
      </c>
      <c r="B169">
        <v>2023</v>
      </c>
      <c r="C169" t="s">
        <v>14</v>
      </c>
      <c r="D169" t="s">
        <v>24</v>
      </c>
      <c r="E169" t="s">
        <v>29</v>
      </c>
      <c r="F169">
        <v>396</v>
      </c>
      <c r="G169">
        <v>588</v>
      </c>
      <c r="H169">
        <v>232848</v>
      </c>
      <c r="I169">
        <v>24800</v>
      </c>
    </row>
    <row r="170" spans="1:9">
      <c r="A170" s="2">
        <v>45078</v>
      </c>
      <c r="B170">
        <v>2023</v>
      </c>
      <c r="C170" t="s">
        <v>14</v>
      </c>
      <c r="D170" t="s">
        <v>24</v>
      </c>
      <c r="E170" t="s">
        <v>30</v>
      </c>
      <c r="F170">
        <v>292</v>
      </c>
      <c r="G170">
        <v>688</v>
      </c>
      <c r="H170">
        <v>200896</v>
      </c>
      <c r="I170">
        <v>22313</v>
      </c>
    </row>
    <row r="171" spans="1:9">
      <c r="A171" s="2">
        <v>45078</v>
      </c>
      <c r="B171">
        <v>2023</v>
      </c>
      <c r="C171" t="s">
        <v>14</v>
      </c>
      <c r="D171" t="s">
        <v>24</v>
      </c>
      <c r="E171" t="s">
        <v>31</v>
      </c>
      <c r="F171">
        <v>306</v>
      </c>
      <c r="G171">
        <v>644</v>
      </c>
      <c r="H171">
        <v>197064</v>
      </c>
      <c r="I171">
        <v>21936</v>
      </c>
    </row>
    <row r="172" spans="1:9">
      <c r="A172" s="2">
        <v>45078</v>
      </c>
      <c r="B172">
        <v>2023</v>
      </c>
      <c r="C172" t="s">
        <v>14</v>
      </c>
      <c r="D172" t="s">
        <v>25</v>
      </c>
      <c r="E172" t="s">
        <v>27</v>
      </c>
      <c r="F172">
        <v>126</v>
      </c>
      <c r="G172">
        <v>264</v>
      </c>
      <c r="H172">
        <v>33264</v>
      </c>
      <c r="I172">
        <v>6797</v>
      </c>
    </row>
    <row r="173" spans="1:9">
      <c r="A173" s="2">
        <v>45078</v>
      </c>
      <c r="B173">
        <v>2023</v>
      </c>
      <c r="C173" t="s">
        <v>14</v>
      </c>
      <c r="D173" t="s">
        <v>25</v>
      </c>
      <c r="E173" t="s">
        <v>28</v>
      </c>
      <c r="F173">
        <v>80</v>
      </c>
      <c r="G173">
        <v>264</v>
      </c>
      <c r="H173">
        <v>21120</v>
      </c>
      <c r="I173">
        <v>3963</v>
      </c>
    </row>
    <row r="174" spans="1:9">
      <c r="A174" s="2">
        <v>45078</v>
      </c>
      <c r="B174">
        <v>2023</v>
      </c>
      <c r="C174" t="s">
        <v>14</v>
      </c>
      <c r="D174" t="s">
        <v>25</v>
      </c>
      <c r="E174" t="s">
        <v>29</v>
      </c>
      <c r="F174">
        <v>223</v>
      </c>
      <c r="G174">
        <v>271</v>
      </c>
      <c r="H174">
        <v>60433</v>
      </c>
      <c r="I174">
        <v>14340</v>
      </c>
    </row>
    <row r="175" spans="1:9">
      <c r="A175" s="2">
        <v>45078</v>
      </c>
      <c r="B175">
        <v>2023</v>
      </c>
      <c r="C175" t="s">
        <v>14</v>
      </c>
      <c r="D175" t="s">
        <v>25</v>
      </c>
      <c r="E175" t="s">
        <v>30</v>
      </c>
      <c r="F175">
        <v>303</v>
      </c>
      <c r="G175">
        <v>228</v>
      </c>
      <c r="H175">
        <v>69084</v>
      </c>
      <c r="I175">
        <v>10996</v>
      </c>
    </row>
    <row r="176" spans="1:9">
      <c r="A176" s="2">
        <v>45078</v>
      </c>
      <c r="B176">
        <v>2023</v>
      </c>
      <c r="C176" t="s">
        <v>14</v>
      </c>
      <c r="D176" t="s">
        <v>25</v>
      </c>
      <c r="E176" t="s">
        <v>31</v>
      </c>
      <c r="F176">
        <v>235</v>
      </c>
      <c r="G176">
        <v>245</v>
      </c>
      <c r="H176">
        <v>57575</v>
      </c>
      <c r="I176">
        <v>7222</v>
      </c>
    </row>
    <row r="177" spans="1:9">
      <c r="A177" s="2">
        <v>45078</v>
      </c>
      <c r="B177">
        <v>2023</v>
      </c>
      <c r="C177" t="s">
        <v>14</v>
      </c>
      <c r="D177" t="s">
        <v>26</v>
      </c>
      <c r="E177" t="s">
        <v>27</v>
      </c>
      <c r="F177">
        <v>243</v>
      </c>
      <c r="G177">
        <v>355</v>
      </c>
      <c r="H177">
        <v>86265</v>
      </c>
      <c r="I177">
        <v>13198</v>
      </c>
    </row>
    <row r="178" spans="1:9">
      <c r="A178" s="2">
        <v>45078</v>
      </c>
      <c r="B178">
        <v>2023</v>
      </c>
      <c r="C178" t="s">
        <v>14</v>
      </c>
      <c r="D178" t="s">
        <v>26</v>
      </c>
      <c r="E178" t="s">
        <v>28</v>
      </c>
      <c r="F178">
        <v>257</v>
      </c>
      <c r="G178">
        <v>338</v>
      </c>
      <c r="H178">
        <v>86866</v>
      </c>
      <c r="I178">
        <v>13381</v>
      </c>
    </row>
    <row r="179" spans="1:9">
      <c r="A179" s="2">
        <v>45078</v>
      </c>
      <c r="B179">
        <v>2023</v>
      </c>
      <c r="C179" t="s">
        <v>14</v>
      </c>
      <c r="D179" t="s">
        <v>26</v>
      </c>
      <c r="E179" t="s">
        <v>29</v>
      </c>
      <c r="F179">
        <v>307</v>
      </c>
      <c r="G179">
        <v>401</v>
      </c>
      <c r="H179">
        <v>123107</v>
      </c>
      <c r="I179">
        <v>25202</v>
      </c>
    </row>
    <row r="180" spans="1:9">
      <c r="A180" s="2">
        <v>45078</v>
      </c>
      <c r="B180">
        <v>2023</v>
      </c>
      <c r="C180" t="s">
        <v>14</v>
      </c>
      <c r="D180" t="s">
        <v>26</v>
      </c>
      <c r="E180" t="s">
        <v>30</v>
      </c>
      <c r="F180">
        <v>224</v>
      </c>
      <c r="G180">
        <v>339</v>
      </c>
      <c r="H180">
        <v>75936</v>
      </c>
      <c r="I180">
        <v>12277</v>
      </c>
    </row>
    <row r="181" spans="1:9">
      <c r="A181" s="2">
        <v>45078</v>
      </c>
      <c r="B181">
        <v>2023</v>
      </c>
      <c r="C181" t="s">
        <v>14</v>
      </c>
      <c r="D181" t="s">
        <v>26</v>
      </c>
      <c r="E181" t="s">
        <v>31</v>
      </c>
      <c r="F181">
        <v>299</v>
      </c>
      <c r="G181">
        <v>338</v>
      </c>
      <c r="H181">
        <v>101062</v>
      </c>
      <c r="I181">
        <v>12125</v>
      </c>
    </row>
    <row r="182" spans="1:9">
      <c r="A182" s="2">
        <v>45108</v>
      </c>
      <c r="B182">
        <v>2023</v>
      </c>
      <c r="C182" t="s">
        <v>15</v>
      </c>
      <c r="D182" t="s">
        <v>21</v>
      </c>
      <c r="E182" t="s">
        <v>27</v>
      </c>
      <c r="F182">
        <v>111</v>
      </c>
      <c r="G182">
        <v>1326</v>
      </c>
      <c r="H182">
        <v>147186</v>
      </c>
      <c r="I182">
        <v>35688</v>
      </c>
    </row>
    <row r="183" spans="1:9">
      <c r="A183" s="2">
        <v>45108</v>
      </c>
      <c r="B183">
        <v>2023</v>
      </c>
      <c r="C183" t="s">
        <v>15</v>
      </c>
      <c r="D183" t="s">
        <v>21</v>
      </c>
      <c r="E183" t="s">
        <v>28</v>
      </c>
      <c r="F183">
        <v>326</v>
      </c>
      <c r="G183">
        <v>1254</v>
      </c>
      <c r="H183">
        <v>408804</v>
      </c>
      <c r="I183">
        <v>97244</v>
      </c>
    </row>
    <row r="184" spans="1:9">
      <c r="A184" s="2">
        <v>45108</v>
      </c>
      <c r="B184">
        <v>2023</v>
      </c>
      <c r="C184" t="s">
        <v>15</v>
      </c>
      <c r="D184" t="s">
        <v>21</v>
      </c>
      <c r="E184" t="s">
        <v>29</v>
      </c>
      <c r="F184">
        <v>86</v>
      </c>
      <c r="G184">
        <v>1359</v>
      </c>
      <c r="H184">
        <v>116874</v>
      </c>
      <c r="I184">
        <v>26870</v>
      </c>
    </row>
    <row r="185" spans="1:9">
      <c r="A185" s="2">
        <v>45108</v>
      </c>
      <c r="B185">
        <v>2023</v>
      </c>
      <c r="C185" t="s">
        <v>15</v>
      </c>
      <c r="D185" t="s">
        <v>21</v>
      </c>
      <c r="E185" t="s">
        <v>30</v>
      </c>
      <c r="F185">
        <v>81</v>
      </c>
      <c r="G185">
        <v>1087</v>
      </c>
      <c r="H185">
        <v>88047</v>
      </c>
      <c r="I185">
        <v>13776</v>
      </c>
    </row>
    <row r="186" spans="1:9">
      <c r="A186" s="2">
        <v>45108</v>
      </c>
      <c r="B186">
        <v>2023</v>
      </c>
      <c r="C186" t="s">
        <v>15</v>
      </c>
      <c r="D186" t="s">
        <v>21</v>
      </c>
      <c r="E186" t="s">
        <v>31</v>
      </c>
      <c r="F186">
        <v>140</v>
      </c>
      <c r="G186">
        <v>1224</v>
      </c>
      <c r="H186">
        <v>171360</v>
      </c>
      <c r="I186">
        <v>42461</v>
      </c>
    </row>
    <row r="187" spans="1:9">
      <c r="A187" s="2">
        <v>45108</v>
      </c>
      <c r="B187">
        <v>2023</v>
      </c>
      <c r="C187" t="s">
        <v>15</v>
      </c>
      <c r="D187" t="s">
        <v>22</v>
      </c>
      <c r="E187" t="s">
        <v>27</v>
      </c>
      <c r="F187">
        <v>337</v>
      </c>
      <c r="G187">
        <v>838</v>
      </c>
      <c r="H187">
        <v>282406</v>
      </c>
      <c r="I187">
        <v>44375</v>
      </c>
    </row>
    <row r="188" spans="1:9">
      <c r="A188" s="2">
        <v>45108</v>
      </c>
      <c r="B188">
        <v>2023</v>
      </c>
      <c r="C188" t="s">
        <v>15</v>
      </c>
      <c r="D188" t="s">
        <v>22</v>
      </c>
      <c r="E188" t="s">
        <v>28</v>
      </c>
      <c r="F188">
        <v>384</v>
      </c>
      <c r="G188">
        <v>888</v>
      </c>
      <c r="H188">
        <v>340992</v>
      </c>
      <c r="I188">
        <v>76978</v>
      </c>
    </row>
    <row r="189" spans="1:9">
      <c r="A189" s="2">
        <v>45108</v>
      </c>
      <c r="B189">
        <v>2023</v>
      </c>
      <c r="C189" t="s">
        <v>15</v>
      </c>
      <c r="D189" t="s">
        <v>22</v>
      </c>
      <c r="E189" t="s">
        <v>29</v>
      </c>
      <c r="F189">
        <v>172</v>
      </c>
      <c r="G189">
        <v>727</v>
      </c>
      <c r="H189">
        <v>125044</v>
      </c>
      <c r="I189">
        <v>15015</v>
      </c>
    </row>
    <row r="190" spans="1:9">
      <c r="A190" s="2">
        <v>45108</v>
      </c>
      <c r="B190">
        <v>2023</v>
      </c>
      <c r="C190" t="s">
        <v>15</v>
      </c>
      <c r="D190" t="s">
        <v>22</v>
      </c>
      <c r="E190" t="s">
        <v>30</v>
      </c>
      <c r="F190">
        <v>380</v>
      </c>
      <c r="G190">
        <v>892</v>
      </c>
      <c r="H190">
        <v>338960</v>
      </c>
      <c r="I190">
        <v>75227</v>
      </c>
    </row>
    <row r="191" spans="1:9">
      <c r="A191" s="2">
        <v>45108</v>
      </c>
      <c r="B191">
        <v>2023</v>
      </c>
      <c r="C191" t="s">
        <v>15</v>
      </c>
      <c r="D191" t="s">
        <v>22</v>
      </c>
      <c r="E191" t="s">
        <v>31</v>
      </c>
      <c r="F191">
        <v>206</v>
      </c>
      <c r="G191">
        <v>919</v>
      </c>
      <c r="H191">
        <v>189314</v>
      </c>
      <c r="I191">
        <v>34704</v>
      </c>
    </row>
    <row r="192" spans="1:9">
      <c r="A192" s="2">
        <v>45108</v>
      </c>
      <c r="B192">
        <v>2023</v>
      </c>
      <c r="C192" t="s">
        <v>15</v>
      </c>
      <c r="D192" t="s">
        <v>23</v>
      </c>
      <c r="E192" t="s">
        <v>27</v>
      </c>
      <c r="F192">
        <v>128</v>
      </c>
      <c r="G192">
        <v>136</v>
      </c>
      <c r="H192">
        <v>17408</v>
      </c>
      <c r="I192">
        <v>3959</v>
      </c>
    </row>
    <row r="193" spans="1:9">
      <c r="A193" s="2">
        <v>45108</v>
      </c>
      <c r="B193">
        <v>2023</v>
      </c>
      <c r="C193" t="s">
        <v>15</v>
      </c>
      <c r="D193" t="s">
        <v>23</v>
      </c>
      <c r="E193" t="s">
        <v>28</v>
      </c>
      <c r="F193">
        <v>218</v>
      </c>
      <c r="G193">
        <v>115</v>
      </c>
      <c r="H193">
        <v>25070</v>
      </c>
      <c r="I193">
        <v>3278</v>
      </c>
    </row>
    <row r="194" spans="1:9">
      <c r="A194" s="2">
        <v>45108</v>
      </c>
      <c r="B194">
        <v>2023</v>
      </c>
      <c r="C194" t="s">
        <v>15</v>
      </c>
      <c r="D194" t="s">
        <v>23</v>
      </c>
      <c r="E194" t="s">
        <v>29</v>
      </c>
      <c r="F194">
        <v>78</v>
      </c>
      <c r="G194">
        <v>136</v>
      </c>
      <c r="H194">
        <v>10608</v>
      </c>
      <c r="I194">
        <v>2025</v>
      </c>
    </row>
    <row r="195" spans="1:9">
      <c r="A195" s="2">
        <v>45108</v>
      </c>
      <c r="B195">
        <v>2023</v>
      </c>
      <c r="C195" t="s">
        <v>15</v>
      </c>
      <c r="D195" t="s">
        <v>23</v>
      </c>
      <c r="E195" t="s">
        <v>30</v>
      </c>
      <c r="F195">
        <v>357</v>
      </c>
      <c r="G195">
        <v>109</v>
      </c>
      <c r="H195">
        <v>38913</v>
      </c>
      <c r="I195">
        <v>5459</v>
      </c>
    </row>
    <row r="196" spans="1:9">
      <c r="A196" s="2">
        <v>45108</v>
      </c>
      <c r="B196">
        <v>2023</v>
      </c>
      <c r="C196" t="s">
        <v>15</v>
      </c>
      <c r="D196" t="s">
        <v>23</v>
      </c>
      <c r="E196" t="s">
        <v>31</v>
      </c>
      <c r="F196">
        <v>115</v>
      </c>
      <c r="G196">
        <v>128</v>
      </c>
      <c r="H196">
        <v>14720</v>
      </c>
      <c r="I196">
        <v>2620</v>
      </c>
    </row>
    <row r="197" spans="1:9">
      <c r="A197" s="2">
        <v>45108</v>
      </c>
      <c r="B197">
        <v>2023</v>
      </c>
      <c r="C197" t="s">
        <v>15</v>
      </c>
      <c r="D197" t="s">
        <v>24</v>
      </c>
      <c r="E197" t="s">
        <v>27</v>
      </c>
      <c r="F197">
        <v>192</v>
      </c>
      <c r="G197">
        <v>664</v>
      </c>
      <c r="H197">
        <v>127488</v>
      </c>
      <c r="I197">
        <v>18634</v>
      </c>
    </row>
    <row r="198" spans="1:9">
      <c r="A198" s="2">
        <v>45108</v>
      </c>
      <c r="B198">
        <v>2023</v>
      </c>
      <c r="C198" t="s">
        <v>15</v>
      </c>
      <c r="D198" t="s">
        <v>24</v>
      </c>
      <c r="E198" t="s">
        <v>28</v>
      </c>
      <c r="F198">
        <v>129</v>
      </c>
      <c r="G198">
        <v>685</v>
      </c>
      <c r="H198">
        <v>88365</v>
      </c>
      <c r="I198">
        <v>10008</v>
      </c>
    </row>
    <row r="199" spans="1:9">
      <c r="A199" s="2">
        <v>45108</v>
      </c>
      <c r="B199">
        <v>2023</v>
      </c>
      <c r="C199" t="s">
        <v>15</v>
      </c>
      <c r="D199" t="s">
        <v>24</v>
      </c>
      <c r="E199" t="s">
        <v>29</v>
      </c>
      <c r="F199">
        <v>321</v>
      </c>
      <c r="G199">
        <v>600</v>
      </c>
      <c r="H199">
        <v>192600</v>
      </c>
      <c r="I199">
        <v>23131</v>
      </c>
    </row>
    <row r="200" spans="1:9">
      <c r="A200" s="2">
        <v>45108</v>
      </c>
      <c r="B200">
        <v>2023</v>
      </c>
      <c r="C200" t="s">
        <v>15</v>
      </c>
      <c r="D200" t="s">
        <v>24</v>
      </c>
      <c r="E200" t="s">
        <v>30</v>
      </c>
      <c r="F200">
        <v>372</v>
      </c>
      <c r="G200">
        <v>603</v>
      </c>
      <c r="H200">
        <v>224316</v>
      </c>
      <c r="I200">
        <v>48833</v>
      </c>
    </row>
    <row r="201" spans="1:9">
      <c r="A201" s="2">
        <v>45108</v>
      </c>
      <c r="B201">
        <v>2023</v>
      </c>
      <c r="C201" t="s">
        <v>15</v>
      </c>
      <c r="D201" t="s">
        <v>24</v>
      </c>
      <c r="E201" t="s">
        <v>31</v>
      </c>
      <c r="F201">
        <v>141</v>
      </c>
      <c r="G201">
        <v>660</v>
      </c>
      <c r="H201">
        <v>93060</v>
      </c>
      <c r="I201">
        <v>21913</v>
      </c>
    </row>
    <row r="202" spans="1:9">
      <c r="A202" s="2">
        <v>45108</v>
      </c>
      <c r="B202">
        <v>2023</v>
      </c>
      <c r="C202" t="s">
        <v>15</v>
      </c>
      <c r="D202" t="s">
        <v>25</v>
      </c>
      <c r="E202" t="s">
        <v>27</v>
      </c>
      <c r="F202">
        <v>264</v>
      </c>
      <c r="G202">
        <v>225</v>
      </c>
      <c r="H202">
        <v>59400</v>
      </c>
      <c r="I202">
        <v>9063</v>
      </c>
    </row>
    <row r="203" spans="1:9">
      <c r="A203" s="2">
        <v>45108</v>
      </c>
      <c r="B203">
        <v>2023</v>
      </c>
      <c r="C203" t="s">
        <v>15</v>
      </c>
      <c r="D203" t="s">
        <v>25</v>
      </c>
      <c r="E203" t="s">
        <v>28</v>
      </c>
      <c r="F203">
        <v>172</v>
      </c>
      <c r="G203">
        <v>264</v>
      </c>
      <c r="H203">
        <v>45408</v>
      </c>
      <c r="I203">
        <v>8319</v>
      </c>
    </row>
    <row r="204" spans="1:9">
      <c r="A204" s="2">
        <v>45108</v>
      </c>
      <c r="B204">
        <v>2023</v>
      </c>
      <c r="C204" t="s">
        <v>15</v>
      </c>
      <c r="D204" t="s">
        <v>25</v>
      </c>
      <c r="E204" t="s">
        <v>29</v>
      </c>
      <c r="F204">
        <v>377</v>
      </c>
      <c r="G204">
        <v>259</v>
      </c>
      <c r="H204">
        <v>97643</v>
      </c>
      <c r="I204">
        <v>16368</v>
      </c>
    </row>
    <row r="205" spans="1:9">
      <c r="A205" s="2">
        <v>45108</v>
      </c>
      <c r="B205">
        <v>2023</v>
      </c>
      <c r="C205" t="s">
        <v>15</v>
      </c>
      <c r="D205" t="s">
        <v>25</v>
      </c>
      <c r="E205" t="s">
        <v>30</v>
      </c>
      <c r="F205">
        <v>106</v>
      </c>
      <c r="G205">
        <v>263</v>
      </c>
      <c r="H205">
        <v>27878</v>
      </c>
      <c r="I205">
        <v>6393</v>
      </c>
    </row>
    <row r="206" spans="1:9">
      <c r="A206" s="2">
        <v>45108</v>
      </c>
      <c r="B206">
        <v>2023</v>
      </c>
      <c r="C206" t="s">
        <v>15</v>
      </c>
      <c r="D206" t="s">
        <v>25</v>
      </c>
      <c r="E206" t="s">
        <v>31</v>
      </c>
      <c r="F206">
        <v>206</v>
      </c>
      <c r="G206">
        <v>274</v>
      </c>
      <c r="H206">
        <v>56444</v>
      </c>
      <c r="I206">
        <v>9533</v>
      </c>
    </row>
    <row r="207" spans="1:9">
      <c r="A207" s="2">
        <v>45108</v>
      </c>
      <c r="B207">
        <v>2023</v>
      </c>
      <c r="C207" t="s">
        <v>15</v>
      </c>
      <c r="D207" t="s">
        <v>26</v>
      </c>
      <c r="E207" t="s">
        <v>27</v>
      </c>
      <c r="F207">
        <v>343</v>
      </c>
      <c r="G207">
        <v>337</v>
      </c>
      <c r="H207">
        <v>115591</v>
      </c>
      <c r="I207">
        <v>19519</v>
      </c>
    </row>
    <row r="208" spans="1:9">
      <c r="A208" s="2">
        <v>45108</v>
      </c>
      <c r="B208">
        <v>2023</v>
      </c>
      <c r="C208" t="s">
        <v>15</v>
      </c>
      <c r="D208" t="s">
        <v>26</v>
      </c>
      <c r="E208" t="s">
        <v>28</v>
      </c>
      <c r="F208">
        <v>110</v>
      </c>
      <c r="G208">
        <v>369</v>
      </c>
      <c r="H208">
        <v>40590</v>
      </c>
      <c r="I208">
        <v>6174</v>
      </c>
    </row>
    <row r="209" spans="1:9">
      <c r="A209" s="2">
        <v>45108</v>
      </c>
      <c r="B209">
        <v>2023</v>
      </c>
      <c r="C209" t="s">
        <v>15</v>
      </c>
      <c r="D209" t="s">
        <v>26</v>
      </c>
      <c r="E209" t="s">
        <v>29</v>
      </c>
      <c r="F209">
        <v>199</v>
      </c>
      <c r="G209">
        <v>370</v>
      </c>
      <c r="H209">
        <v>73630</v>
      </c>
      <c r="I209">
        <v>10015</v>
      </c>
    </row>
    <row r="210" spans="1:9">
      <c r="A210" s="2">
        <v>45108</v>
      </c>
      <c r="B210">
        <v>2023</v>
      </c>
      <c r="C210" t="s">
        <v>15</v>
      </c>
      <c r="D210" t="s">
        <v>26</v>
      </c>
      <c r="E210" t="s">
        <v>30</v>
      </c>
      <c r="F210">
        <v>185</v>
      </c>
      <c r="G210">
        <v>326</v>
      </c>
      <c r="H210">
        <v>60310</v>
      </c>
      <c r="I210">
        <v>7189</v>
      </c>
    </row>
    <row r="211" spans="1:9">
      <c r="A211" s="2">
        <v>45108</v>
      </c>
      <c r="B211">
        <v>2023</v>
      </c>
      <c r="C211" t="s">
        <v>15</v>
      </c>
      <c r="D211" t="s">
        <v>26</v>
      </c>
      <c r="E211" t="s">
        <v>31</v>
      </c>
      <c r="F211">
        <v>169</v>
      </c>
      <c r="G211">
        <v>350</v>
      </c>
      <c r="H211">
        <v>59150</v>
      </c>
      <c r="I211">
        <v>12105</v>
      </c>
    </row>
    <row r="212" spans="1:9">
      <c r="A212" s="2">
        <v>45139</v>
      </c>
      <c r="B212">
        <v>2023</v>
      </c>
      <c r="C212" t="s">
        <v>16</v>
      </c>
      <c r="D212" t="s">
        <v>21</v>
      </c>
      <c r="E212" t="s">
        <v>27</v>
      </c>
      <c r="F212">
        <v>251</v>
      </c>
      <c r="G212">
        <v>1203</v>
      </c>
      <c r="H212">
        <v>301953</v>
      </c>
      <c r="I212">
        <v>69795</v>
      </c>
    </row>
    <row r="213" spans="1:9">
      <c r="A213" s="2">
        <v>45139</v>
      </c>
      <c r="B213">
        <v>2023</v>
      </c>
      <c r="C213" t="s">
        <v>16</v>
      </c>
      <c r="D213" t="s">
        <v>21</v>
      </c>
      <c r="E213" t="s">
        <v>28</v>
      </c>
      <c r="F213">
        <v>223</v>
      </c>
      <c r="G213">
        <v>1280</v>
      </c>
      <c r="H213">
        <v>285440</v>
      </c>
      <c r="I213">
        <v>35922</v>
      </c>
    </row>
    <row r="214" spans="1:9">
      <c r="A214" s="2">
        <v>45139</v>
      </c>
      <c r="B214">
        <v>2023</v>
      </c>
      <c r="C214" t="s">
        <v>16</v>
      </c>
      <c r="D214" t="s">
        <v>21</v>
      </c>
      <c r="E214" t="s">
        <v>29</v>
      </c>
      <c r="F214">
        <v>192</v>
      </c>
      <c r="G214">
        <v>1147</v>
      </c>
      <c r="H214">
        <v>220224</v>
      </c>
      <c r="I214">
        <v>49169</v>
      </c>
    </row>
    <row r="215" spans="1:9">
      <c r="A215" s="2">
        <v>45139</v>
      </c>
      <c r="B215">
        <v>2023</v>
      </c>
      <c r="C215" t="s">
        <v>16</v>
      </c>
      <c r="D215" t="s">
        <v>21</v>
      </c>
      <c r="E215" t="s">
        <v>30</v>
      </c>
      <c r="F215">
        <v>163</v>
      </c>
      <c r="G215">
        <v>1184</v>
      </c>
      <c r="H215">
        <v>192992</v>
      </c>
      <c r="I215">
        <v>20219</v>
      </c>
    </row>
    <row r="216" spans="1:9">
      <c r="A216" s="2">
        <v>45139</v>
      </c>
      <c r="B216">
        <v>2023</v>
      </c>
      <c r="C216" t="s">
        <v>16</v>
      </c>
      <c r="D216" t="s">
        <v>21</v>
      </c>
      <c r="E216" t="s">
        <v>31</v>
      </c>
      <c r="F216">
        <v>76</v>
      </c>
      <c r="G216">
        <v>1240</v>
      </c>
      <c r="H216">
        <v>94240</v>
      </c>
      <c r="I216">
        <v>14456</v>
      </c>
    </row>
    <row r="217" spans="1:9">
      <c r="A217" s="2">
        <v>45139</v>
      </c>
      <c r="B217">
        <v>2023</v>
      </c>
      <c r="C217" t="s">
        <v>16</v>
      </c>
      <c r="D217" t="s">
        <v>22</v>
      </c>
      <c r="E217" t="s">
        <v>27</v>
      </c>
      <c r="F217">
        <v>119</v>
      </c>
      <c r="G217">
        <v>792</v>
      </c>
      <c r="H217">
        <v>94248</v>
      </c>
      <c r="I217">
        <v>16541</v>
      </c>
    </row>
    <row r="218" spans="1:9">
      <c r="A218" s="2">
        <v>45139</v>
      </c>
      <c r="B218">
        <v>2023</v>
      </c>
      <c r="C218" t="s">
        <v>16</v>
      </c>
      <c r="D218" t="s">
        <v>22</v>
      </c>
      <c r="E218" t="s">
        <v>28</v>
      </c>
      <c r="F218">
        <v>363</v>
      </c>
      <c r="G218">
        <v>784</v>
      </c>
      <c r="H218">
        <v>284592</v>
      </c>
      <c r="I218">
        <v>32398</v>
      </c>
    </row>
    <row r="219" spans="1:9">
      <c r="A219" s="2">
        <v>45139</v>
      </c>
      <c r="B219">
        <v>2023</v>
      </c>
      <c r="C219" t="s">
        <v>16</v>
      </c>
      <c r="D219" t="s">
        <v>22</v>
      </c>
      <c r="E219" t="s">
        <v>29</v>
      </c>
      <c r="F219">
        <v>120</v>
      </c>
      <c r="G219">
        <v>845</v>
      </c>
      <c r="H219">
        <v>101400</v>
      </c>
      <c r="I219">
        <v>11383</v>
      </c>
    </row>
    <row r="220" spans="1:9">
      <c r="A220" s="2">
        <v>45139</v>
      </c>
      <c r="B220">
        <v>2023</v>
      </c>
      <c r="C220" t="s">
        <v>16</v>
      </c>
      <c r="D220" t="s">
        <v>22</v>
      </c>
      <c r="E220" t="s">
        <v>30</v>
      </c>
      <c r="F220">
        <v>177</v>
      </c>
      <c r="G220">
        <v>904</v>
      </c>
      <c r="H220">
        <v>160008</v>
      </c>
      <c r="I220">
        <v>17466</v>
      </c>
    </row>
    <row r="221" spans="1:9">
      <c r="A221" s="2">
        <v>45139</v>
      </c>
      <c r="B221">
        <v>2023</v>
      </c>
      <c r="C221" t="s">
        <v>16</v>
      </c>
      <c r="D221" t="s">
        <v>22</v>
      </c>
      <c r="E221" t="s">
        <v>31</v>
      </c>
      <c r="F221">
        <v>100</v>
      </c>
      <c r="G221">
        <v>893</v>
      </c>
      <c r="H221">
        <v>89300</v>
      </c>
      <c r="I221">
        <v>10062</v>
      </c>
    </row>
    <row r="222" spans="1:9">
      <c r="A222" s="2">
        <v>45139</v>
      </c>
      <c r="B222">
        <v>2023</v>
      </c>
      <c r="C222" t="s">
        <v>16</v>
      </c>
      <c r="D222" t="s">
        <v>23</v>
      </c>
      <c r="E222" t="s">
        <v>27</v>
      </c>
      <c r="F222">
        <v>317</v>
      </c>
      <c r="G222">
        <v>137</v>
      </c>
      <c r="H222">
        <v>43429</v>
      </c>
      <c r="I222">
        <v>7838</v>
      </c>
    </row>
    <row r="223" spans="1:9">
      <c r="A223" s="2">
        <v>45139</v>
      </c>
      <c r="B223">
        <v>2023</v>
      </c>
      <c r="C223" t="s">
        <v>16</v>
      </c>
      <c r="D223" t="s">
        <v>23</v>
      </c>
      <c r="E223" t="s">
        <v>28</v>
      </c>
      <c r="F223">
        <v>129</v>
      </c>
      <c r="G223">
        <v>122</v>
      </c>
      <c r="H223">
        <v>15738</v>
      </c>
      <c r="I223">
        <v>3033</v>
      </c>
    </row>
    <row r="224" spans="1:9">
      <c r="A224" s="2">
        <v>45139</v>
      </c>
      <c r="B224">
        <v>2023</v>
      </c>
      <c r="C224" t="s">
        <v>16</v>
      </c>
      <c r="D224" t="s">
        <v>23</v>
      </c>
      <c r="E224" t="s">
        <v>29</v>
      </c>
      <c r="F224">
        <v>150</v>
      </c>
      <c r="G224">
        <v>121</v>
      </c>
      <c r="H224">
        <v>18150</v>
      </c>
      <c r="I224">
        <v>3849</v>
      </c>
    </row>
    <row r="225" spans="1:9">
      <c r="A225" s="2">
        <v>45139</v>
      </c>
      <c r="B225">
        <v>2023</v>
      </c>
      <c r="C225" t="s">
        <v>16</v>
      </c>
      <c r="D225" t="s">
        <v>23</v>
      </c>
      <c r="E225" t="s">
        <v>30</v>
      </c>
      <c r="F225">
        <v>88</v>
      </c>
      <c r="G225">
        <v>112</v>
      </c>
      <c r="H225">
        <v>9856</v>
      </c>
      <c r="I225">
        <v>1182</v>
      </c>
    </row>
    <row r="226" spans="1:9">
      <c r="A226" s="2">
        <v>45139</v>
      </c>
      <c r="B226">
        <v>2023</v>
      </c>
      <c r="C226" t="s">
        <v>16</v>
      </c>
      <c r="D226" t="s">
        <v>23</v>
      </c>
      <c r="E226" t="s">
        <v>31</v>
      </c>
      <c r="F226">
        <v>78</v>
      </c>
      <c r="G226">
        <v>134</v>
      </c>
      <c r="H226">
        <v>10452</v>
      </c>
      <c r="I226">
        <v>1847</v>
      </c>
    </row>
    <row r="227" spans="1:9">
      <c r="A227" s="2">
        <v>45139</v>
      </c>
      <c r="B227">
        <v>2023</v>
      </c>
      <c r="C227" t="s">
        <v>16</v>
      </c>
      <c r="D227" t="s">
        <v>24</v>
      </c>
      <c r="E227" t="s">
        <v>27</v>
      </c>
      <c r="F227">
        <v>304</v>
      </c>
      <c r="G227">
        <v>544</v>
      </c>
      <c r="H227">
        <v>165376</v>
      </c>
      <c r="I227">
        <v>38050</v>
      </c>
    </row>
    <row r="228" spans="1:9">
      <c r="A228" s="2">
        <v>45139</v>
      </c>
      <c r="B228">
        <v>2023</v>
      </c>
      <c r="C228" t="s">
        <v>16</v>
      </c>
      <c r="D228" t="s">
        <v>24</v>
      </c>
      <c r="E228" t="s">
        <v>28</v>
      </c>
      <c r="F228">
        <v>356</v>
      </c>
      <c r="G228">
        <v>619</v>
      </c>
      <c r="H228">
        <v>220364</v>
      </c>
      <c r="I228">
        <v>30051</v>
      </c>
    </row>
    <row r="229" spans="1:9">
      <c r="A229" s="2">
        <v>45139</v>
      </c>
      <c r="B229">
        <v>2023</v>
      </c>
      <c r="C229" t="s">
        <v>16</v>
      </c>
      <c r="D229" t="s">
        <v>24</v>
      </c>
      <c r="E229" t="s">
        <v>29</v>
      </c>
      <c r="F229">
        <v>189</v>
      </c>
      <c r="G229">
        <v>596</v>
      </c>
      <c r="H229">
        <v>112644</v>
      </c>
      <c r="I229">
        <v>11603</v>
      </c>
    </row>
    <row r="230" spans="1:9">
      <c r="A230" s="2">
        <v>45139</v>
      </c>
      <c r="B230">
        <v>2023</v>
      </c>
      <c r="C230" t="s">
        <v>16</v>
      </c>
      <c r="D230" t="s">
        <v>24</v>
      </c>
      <c r="E230" t="s">
        <v>30</v>
      </c>
      <c r="F230">
        <v>336</v>
      </c>
      <c r="G230">
        <v>571</v>
      </c>
      <c r="H230">
        <v>191856</v>
      </c>
      <c r="I230">
        <v>28610</v>
      </c>
    </row>
    <row r="231" spans="1:9">
      <c r="A231" s="2">
        <v>45139</v>
      </c>
      <c r="B231">
        <v>2023</v>
      </c>
      <c r="C231" t="s">
        <v>16</v>
      </c>
      <c r="D231" t="s">
        <v>24</v>
      </c>
      <c r="E231" t="s">
        <v>31</v>
      </c>
      <c r="F231">
        <v>362</v>
      </c>
      <c r="G231">
        <v>574</v>
      </c>
      <c r="H231">
        <v>207788</v>
      </c>
      <c r="I231">
        <v>31467</v>
      </c>
    </row>
    <row r="232" spans="1:9">
      <c r="A232" s="2">
        <v>45139</v>
      </c>
      <c r="B232">
        <v>2023</v>
      </c>
      <c r="C232" t="s">
        <v>16</v>
      </c>
      <c r="D232" t="s">
        <v>25</v>
      </c>
      <c r="E232" t="s">
        <v>27</v>
      </c>
      <c r="F232">
        <v>99</v>
      </c>
      <c r="G232">
        <v>267</v>
      </c>
      <c r="H232">
        <v>26433</v>
      </c>
      <c r="I232">
        <v>5772</v>
      </c>
    </row>
    <row r="233" spans="1:9">
      <c r="A233" s="2">
        <v>45139</v>
      </c>
      <c r="B233">
        <v>2023</v>
      </c>
      <c r="C233" t="s">
        <v>16</v>
      </c>
      <c r="D233" t="s">
        <v>25</v>
      </c>
      <c r="E233" t="s">
        <v>28</v>
      </c>
      <c r="F233">
        <v>179</v>
      </c>
      <c r="G233">
        <v>254</v>
      </c>
      <c r="H233">
        <v>45466</v>
      </c>
      <c r="I233">
        <v>8530</v>
      </c>
    </row>
    <row r="234" spans="1:9">
      <c r="A234" s="2">
        <v>45139</v>
      </c>
      <c r="B234">
        <v>2023</v>
      </c>
      <c r="C234" t="s">
        <v>16</v>
      </c>
      <c r="D234" t="s">
        <v>25</v>
      </c>
      <c r="E234" t="s">
        <v>29</v>
      </c>
      <c r="F234">
        <v>108</v>
      </c>
      <c r="G234">
        <v>259</v>
      </c>
      <c r="H234">
        <v>27972</v>
      </c>
      <c r="I234">
        <v>5258</v>
      </c>
    </row>
    <row r="235" spans="1:9">
      <c r="A235" s="2">
        <v>45139</v>
      </c>
      <c r="B235">
        <v>2023</v>
      </c>
      <c r="C235" t="s">
        <v>16</v>
      </c>
      <c r="D235" t="s">
        <v>25</v>
      </c>
      <c r="E235" t="s">
        <v>30</v>
      </c>
      <c r="F235">
        <v>301</v>
      </c>
      <c r="G235">
        <v>232</v>
      </c>
      <c r="H235">
        <v>69832</v>
      </c>
      <c r="I235">
        <v>9955</v>
      </c>
    </row>
    <row r="236" spans="1:9">
      <c r="A236" s="2">
        <v>45139</v>
      </c>
      <c r="B236">
        <v>2023</v>
      </c>
      <c r="C236" t="s">
        <v>16</v>
      </c>
      <c r="D236" t="s">
        <v>25</v>
      </c>
      <c r="E236" t="s">
        <v>31</v>
      </c>
      <c r="F236">
        <v>81</v>
      </c>
      <c r="G236">
        <v>281</v>
      </c>
      <c r="H236">
        <v>22761</v>
      </c>
      <c r="I236">
        <v>4350</v>
      </c>
    </row>
    <row r="237" spans="1:9">
      <c r="A237" s="2">
        <v>45139</v>
      </c>
      <c r="B237">
        <v>2023</v>
      </c>
      <c r="C237" t="s">
        <v>16</v>
      </c>
      <c r="D237" t="s">
        <v>26</v>
      </c>
      <c r="E237" t="s">
        <v>27</v>
      </c>
      <c r="F237">
        <v>376</v>
      </c>
      <c r="G237">
        <v>401</v>
      </c>
      <c r="H237">
        <v>150776</v>
      </c>
      <c r="I237">
        <v>28778</v>
      </c>
    </row>
    <row r="238" spans="1:9">
      <c r="A238" s="2">
        <v>45139</v>
      </c>
      <c r="B238">
        <v>2023</v>
      </c>
      <c r="C238" t="s">
        <v>16</v>
      </c>
      <c r="D238" t="s">
        <v>26</v>
      </c>
      <c r="E238" t="s">
        <v>28</v>
      </c>
      <c r="F238">
        <v>352</v>
      </c>
      <c r="G238">
        <v>315</v>
      </c>
      <c r="H238">
        <v>110880</v>
      </c>
      <c r="I238">
        <v>14835</v>
      </c>
    </row>
    <row r="239" spans="1:9">
      <c r="A239" s="2">
        <v>45139</v>
      </c>
      <c r="B239">
        <v>2023</v>
      </c>
      <c r="C239" t="s">
        <v>16</v>
      </c>
      <c r="D239" t="s">
        <v>26</v>
      </c>
      <c r="E239" t="s">
        <v>29</v>
      </c>
      <c r="F239">
        <v>142</v>
      </c>
      <c r="G239">
        <v>336</v>
      </c>
      <c r="H239">
        <v>47712</v>
      </c>
      <c r="I239">
        <v>5921</v>
      </c>
    </row>
    <row r="240" spans="1:9">
      <c r="A240" s="2">
        <v>45139</v>
      </c>
      <c r="B240">
        <v>2023</v>
      </c>
      <c r="C240" t="s">
        <v>16</v>
      </c>
      <c r="D240" t="s">
        <v>26</v>
      </c>
      <c r="E240" t="s">
        <v>30</v>
      </c>
      <c r="F240">
        <v>379</v>
      </c>
      <c r="G240">
        <v>385</v>
      </c>
      <c r="H240">
        <v>145915</v>
      </c>
      <c r="I240">
        <v>15809</v>
      </c>
    </row>
    <row r="241" spans="1:9">
      <c r="A241" s="2">
        <v>45139</v>
      </c>
      <c r="B241">
        <v>2023</v>
      </c>
      <c r="C241" t="s">
        <v>16</v>
      </c>
      <c r="D241" t="s">
        <v>26</v>
      </c>
      <c r="E241" t="s">
        <v>31</v>
      </c>
      <c r="F241">
        <v>206</v>
      </c>
      <c r="G241">
        <v>322</v>
      </c>
      <c r="H241">
        <v>66332</v>
      </c>
      <c r="I241">
        <v>11851</v>
      </c>
    </row>
    <row r="242" spans="1:9">
      <c r="A242" s="2">
        <v>45170</v>
      </c>
      <c r="B242">
        <v>2023</v>
      </c>
      <c r="C242" t="s">
        <v>17</v>
      </c>
      <c r="D242" t="s">
        <v>21</v>
      </c>
      <c r="E242" t="s">
        <v>27</v>
      </c>
      <c r="F242">
        <v>113</v>
      </c>
      <c r="G242">
        <v>1289</v>
      </c>
      <c r="H242">
        <v>145657</v>
      </c>
      <c r="I242">
        <v>36354</v>
      </c>
    </row>
    <row r="243" spans="1:9">
      <c r="A243" s="2">
        <v>45170</v>
      </c>
      <c r="B243">
        <v>2023</v>
      </c>
      <c r="C243" t="s">
        <v>17</v>
      </c>
      <c r="D243" t="s">
        <v>21</v>
      </c>
      <c r="E243" t="s">
        <v>28</v>
      </c>
      <c r="F243">
        <v>80</v>
      </c>
      <c r="G243">
        <v>1199</v>
      </c>
      <c r="H243">
        <v>95920</v>
      </c>
      <c r="I243">
        <v>23540</v>
      </c>
    </row>
    <row r="244" spans="1:9">
      <c r="A244" s="2">
        <v>45170</v>
      </c>
      <c r="B244">
        <v>2023</v>
      </c>
      <c r="C244" t="s">
        <v>17</v>
      </c>
      <c r="D244" t="s">
        <v>21</v>
      </c>
      <c r="E244" t="s">
        <v>29</v>
      </c>
      <c r="F244">
        <v>78</v>
      </c>
      <c r="G244">
        <v>1081</v>
      </c>
      <c r="H244">
        <v>84318</v>
      </c>
      <c r="I244">
        <v>20764</v>
      </c>
    </row>
    <row r="245" spans="1:9">
      <c r="A245" s="2">
        <v>45170</v>
      </c>
      <c r="B245">
        <v>2023</v>
      </c>
      <c r="C245" t="s">
        <v>17</v>
      </c>
      <c r="D245" t="s">
        <v>21</v>
      </c>
      <c r="E245" t="s">
        <v>30</v>
      </c>
      <c r="F245">
        <v>164</v>
      </c>
      <c r="G245">
        <v>1131</v>
      </c>
      <c r="H245">
        <v>185484</v>
      </c>
      <c r="I245">
        <v>37151</v>
      </c>
    </row>
    <row r="246" spans="1:9">
      <c r="A246" s="2">
        <v>45170</v>
      </c>
      <c r="B246">
        <v>2023</v>
      </c>
      <c r="C246" t="s">
        <v>17</v>
      </c>
      <c r="D246" t="s">
        <v>21</v>
      </c>
      <c r="E246" t="s">
        <v>31</v>
      </c>
      <c r="F246">
        <v>259</v>
      </c>
      <c r="G246">
        <v>1247</v>
      </c>
      <c r="H246">
        <v>322973</v>
      </c>
      <c r="I246">
        <v>59989</v>
      </c>
    </row>
    <row r="247" spans="1:9">
      <c r="A247" s="2">
        <v>45170</v>
      </c>
      <c r="B247">
        <v>2023</v>
      </c>
      <c r="C247" t="s">
        <v>17</v>
      </c>
      <c r="D247" t="s">
        <v>22</v>
      </c>
      <c r="E247" t="s">
        <v>27</v>
      </c>
      <c r="F247">
        <v>239</v>
      </c>
      <c r="G247">
        <v>873</v>
      </c>
      <c r="H247">
        <v>208647</v>
      </c>
      <c r="I247">
        <v>26718</v>
      </c>
    </row>
    <row r="248" spans="1:9">
      <c r="A248" s="2">
        <v>45170</v>
      </c>
      <c r="B248">
        <v>2023</v>
      </c>
      <c r="C248" t="s">
        <v>17</v>
      </c>
      <c r="D248" t="s">
        <v>22</v>
      </c>
      <c r="E248" t="s">
        <v>28</v>
      </c>
      <c r="F248">
        <v>187</v>
      </c>
      <c r="G248">
        <v>862</v>
      </c>
      <c r="H248">
        <v>161194</v>
      </c>
      <c r="I248">
        <v>20943</v>
      </c>
    </row>
    <row r="249" spans="1:9">
      <c r="A249" s="2">
        <v>45170</v>
      </c>
      <c r="B249">
        <v>2023</v>
      </c>
      <c r="C249" t="s">
        <v>17</v>
      </c>
      <c r="D249" t="s">
        <v>22</v>
      </c>
      <c r="E249" t="s">
        <v>29</v>
      </c>
      <c r="F249">
        <v>94</v>
      </c>
      <c r="G249">
        <v>768</v>
      </c>
      <c r="H249">
        <v>72192</v>
      </c>
      <c r="I249">
        <v>8462</v>
      </c>
    </row>
    <row r="250" spans="1:9">
      <c r="A250" s="2">
        <v>45170</v>
      </c>
      <c r="B250">
        <v>2023</v>
      </c>
      <c r="C250" t="s">
        <v>17</v>
      </c>
      <c r="D250" t="s">
        <v>22</v>
      </c>
      <c r="E250" t="s">
        <v>30</v>
      </c>
      <c r="F250">
        <v>160</v>
      </c>
      <c r="G250">
        <v>873</v>
      </c>
      <c r="H250">
        <v>139680</v>
      </c>
      <c r="I250">
        <v>15796</v>
      </c>
    </row>
    <row r="251" spans="1:9">
      <c r="A251" s="2">
        <v>45170</v>
      </c>
      <c r="B251">
        <v>2023</v>
      </c>
      <c r="C251" t="s">
        <v>17</v>
      </c>
      <c r="D251" t="s">
        <v>22</v>
      </c>
      <c r="E251" t="s">
        <v>31</v>
      </c>
      <c r="F251">
        <v>207</v>
      </c>
      <c r="G251">
        <v>906</v>
      </c>
      <c r="H251">
        <v>187542</v>
      </c>
      <c r="I251">
        <v>27774</v>
      </c>
    </row>
    <row r="252" spans="1:9">
      <c r="A252" s="2">
        <v>45170</v>
      </c>
      <c r="B252">
        <v>2023</v>
      </c>
      <c r="C252" t="s">
        <v>17</v>
      </c>
      <c r="D252" t="s">
        <v>23</v>
      </c>
      <c r="E252" t="s">
        <v>27</v>
      </c>
      <c r="F252">
        <v>321</v>
      </c>
      <c r="G252">
        <v>109</v>
      </c>
      <c r="H252">
        <v>34989</v>
      </c>
      <c r="I252">
        <v>5265</v>
      </c>
    </row>
    <row r="253" spans="1:9">
      <c r="A253" s="2">
        <v>45170</v>
      </c>
      <c r="B253">
        <v>2023</v>
      </c>
      <c r="C253" t="s">
        <v>17</v>
      </c>
      <c r="D253" t="s">
        <v>23</v>
      </c>
      <c r="E253" t="s">
        <v>28</v>
      </c>
      <c r="F253">
        <v>84</v>
      </c>
      <c r="G253">
        <v>124</v>
      </c>
      <c r="H253">
        <v>10416</v>
      </c>
      <c r="I253">
        <v>1899</v>
      </c>
    </row>
    <row r="254" spans="1:9">
      <c r="A254" s="2">
        <v>45170</v>
      </c>
      <c r="B254">
        <v>2023</v>
      </c>
      <c r="C254" t="s">
        <v>17</v>
      </c>
      <c r="D254" t="s">
        <v>23</v>
      </c>
      <c r="E254" t="s">
        <v>29</v>
      </c>
      <c r="F254">
        <v>87</v>
      </c>
      <c r="G254">
        <v>128</v>
      </c>
      <c r="H254">
        <v>11136</v>
      </c>
      <c r="I254">
        <v>1260</v>
      </c>
    </row>
    <row r="255" spans="1:9">
      <c r="A255" s="2">
        <v>45170</v>
      </c>
      <c r="B255">
        <v>2023</v>
      </c>
      <c r="C255" t="s">
        <v>17</v>
      </c>
      <c r="D255" t="s">
        <v>23</v>
      </c>
      <c r="E255" t="s">
        <v>30</v>
      </c>
      <c r="F255">
        <v>378</v>
      </c>
      <c r="G255">
        <v>128</v>
      </c>
      <c r="H255">
        <v>48384</v>
      </c>
      <c r="I255">
        <v>10355</v>
      </c>
    </row>
    <row r="256" spans="1:9">
      <c r="A256" s="2">
        <v>45170</v>
      </c>
      <c r="B256">
        <v>2023</v>
      </c>
      <c r="C256" t="s">
        <v>17</v>
      </c>
      <c r="D256" t="s">
        <v>23</v>
      </c>
      <c r="E256" t="s">
        <v>31</v>
      </c>
      <c r="F256">
        <v>111</v>
      </c>
      <c r="G256">
        <v>120</v>
      </c>
      <c r="H256">
        <v>13320</v>
      </c>
      <c r="I256">
        <v>2029</v>
      </c>
    </row>
    <row r="257" spans="1:9">
      <c r="A257" s="2">
        <v>45170</v>
      </c>
      <c r="B257">
        <v>2023</v>
      </c>
      <c r="C257" t="s">
        <v>17</v>
      </c>
      <c r="D257" t="s">
        <v>24</v>
      </c>
      <c r="E257" t="s">
        <v>27</v>
      </c>
      <c r="F257">
        <v>364</v>
      </c>
      <c r="G257">
        <v>667</v>
      </c>
      <c r="H257">
        <v>242788</v>
      </c>
      <c r="I257">
        <v>51445</v>
      </c>
    </row>
    <row r="258" spans="1:9">
      <c r="A258" s="2">
        <v>45170</v>
      </c>
      <c r="B258">
        <v>2023</v>
      </c>
      <c r="C258" t="s">
        <v>17</v>
      </c>
      <c r="D258" t="s">
        <v>24</v>
      </c>
      <c r="E258" t="s">
        <v>28</v>
      </c>
      <c r="F258">
        <v>205</v>
      </c>
      <c r="G258">
        <v>570</v>
      </c>
      <c r="H258">
        <v>116850</v>
      </c>
      <c r="I258">
        <v>18331</v>
      </c>
    </row>
    <row r="259" spans="1:9">
      <c r="A259" s="2">
        <v>45170</v>
      </c>
      <c r="B259">
        <v>2023</v>
      </c>
      <c r="C259" t="s">
        <v>17</v>
      </c>
      <c r="D259" t="s">
        <v>24</v>
      </c>
      <c r="E259" t="s">
        <v>29</v>
      </c>
      <c r="F259">
        <v>76</v>
      </c>
      <c r="G259">
        <v>651</v>
      </c>
      <c r="H259">
        <v>49476</v>
      </c>
      <c r="I259">
        <v>9210</v>
      </c>
    </row>
    <row r="260" spans="1:9">
      <c r="A260" s="2">
        <v>45170</v>
      </c>
      <c r="B260">
        <v>2023</v>
      </c>
      <c r="C260" t="s">
        <v>17</v>
      </c>
      <c r="D260" t="s">
        <v>24</v>
      </c>
      <c r="E260" t="s">
        <v>30</v>
      </c>
      <c r="F260">
        <v>379</v>
      </c>
      <c r="G260">
        <v>657</v>
      </c>
      <c r="H260">
        <v>249003</v>
      </c>
      <c r="I260">
        <v>55824</v>
      </c>
    </row>
    <row r="261" spans="1:9">
      <c r="A261" s="2">
        <v>45170</v>
      </c>
      <c r="B261">
        <v>2023</v>
      </c>
      <c r="C261" t="s">
        <v>17</v>
      </c>
      <c r="D261" t="s">
        <v>24</v>
      </c>
      <c r="E261" t="s">
        <v>31</v>
      </c>
      <c r="F261">
        <v>292</v>
      </c>
      <c r="G261">
        <v>570</v>
      </c>
      <c r="H261">
        <v>166440</v>
      </c>
      <c r="I261">
        <v>20729</v>
      </c>
    </row>
    <row r="262" spans="1:9">
      <c r="A262" s="2">
        <v>45170</v>
      </c>
      <c r="B262">
        <v>2023</v>
      </c>
      <c r="C262" t="s">
        <v>17</v>
      </c>
      <c r="D262" t="s">
        <v>25</v>
      </c>
      <c r="E262" t="s">
        <v>27</v>
      </c>
      <c r="F262">
        <v>277</v>
      </c>
      <c r="G262">
        <v>236</v>
      </c>
      <c r="H262">
        <v>65372</v>
      </c>
      <c r="I262">
        <v>8848</v>
      </c>
    </row>
    <row r="263" spans="1:9">
      <c r="A263" s="2">
        <v>45170</v>
      </c>
      <c r="B263">
        <v>2023</v>
      </c>
      <c r="C263" t="s">
        <v>17</v>
      </c>
      <c r="D263" t="s">
        <v>25</v>
      </c>
      <c r="E263" t="s">
        <v>28</v>
      </c>
      <c r="F263">
        <v>149</v>
      </c>
      <c r="G263">
        <v>257</v>
      </c>
      <c r="H263">
        <v>38293</v>
      </c>
      <c r="I263">
        <v>5890</v>
      </c>
    </row>
    <row r="264" spans="1:9">
      <c r="A264" s="2">
        <v>45170</v>
      </c>
      <c r="B264">
        <v>2023</v>
      </c>
      <c r="C264" t="s">
        <v>17</v>
      </c>
      <c r="D264" t="s">
        <v>25</v>
      </c>
      <c r="E264" t="s">
        <v>29</v>
      </c>
      <c r="F264">
        <v>300</v>
      </c>
      <c r="G264">
        <v>261</v>
      </c>
      <c r="H264">
        <v>78300</v>
      </c>
      <c r="I264">
        <v>15851</v>
      </c>
    </row>
    <row r="265" spans="1:9">
      <c r="A265" s="2">
        <v>45170</v>
      </c>
      <c r="B265">
        <v>2023</v>
      </c>
      <c r="C265" t="s">
        <v>17</v>
      </c>
      <c r="D265" t="s">
        <v>25</v>
      </c>
      <c r="E265" t="s">
        <v>30</v>
      </c>
      <c r="F265">
        <v>355</v>
      </c>
      <c r="G265">
        <v>269</v>
      </c>
      <c r="H265">
        <v>95495</v>
      </c>
      <c r="I265">
        <v>22436</v>
      </c>
    </row>
    <row r="266" spans="1:9">
      <c r="A266" s="2">
        <v>45170</v>
      </c>
      <c r="B266">
        <v>2023</v>
      </c>
      <c r="C266" t="s">
        <v>17</v>
      </c>
      <c r="D266" t="s">
        <v>25</v>
      </c>
      <c r="E266" t="s">
        <v>31</v>
      </c>
      <c r="F266">
        <v>193</v>
      </c>
      <c r="G266">
        <v>243</v>
      </c>
      <c r="H266">
        <v>46899</v>
      </c>
      <c r="I266">
        <v>9949</v>
      </c>
    </row>
    <row r="267" spans="1:9">
      <c r="A267" s="2">
        <v>45170</v>
      </c>
      <c r="B267">
        <v>2023</v>
      </c>
      <c r="C267" t="s">
        <v>17</v>
      </c>
      <c r="D267" t="s">
        <v>26</v>
      </c>
      <c r="E267" t="s">
        <v>27</v>
      </c>
      <c r="F267">
        <v>210</v>
      </c>
      <c r="G267">
        <v>365</v>
      </c>
      <c r="H267">
        <v>76650</v>
      </c>
      <c r="I267">
        <v>11750</v>
      </c>
    </row>
    <row r="268" spans="1:9">
      <c r="A268" s="2">
        <v>45170</v>
      </c>
      <c r="B268">
        <v>2023</v>
      </c>
      <c r="C268" t="s">
        <v>17</v>
      </c>
      <c r="D268" t="s">
        <v>26</v>
      </c>
      <c r="E268" t="s">
        <v>28</v>
      </c>
      <c r="F268">
        <v>368</v>
      </c>
      <c r="G268">
        <v>394</v>
      </c>
      <c r="H268">
        <v>144992</v>
      </c>
      <c r="I268">
        <v>28075</v>
      </c>
    </row>
    <row r="269" spans="1:9">
      <c r="A269" s="2">
        <v>45170</v>
      </c>
      <c r="B269">
        <v>2023</v>
      </c>
      <c r="C269" t="s">
        <v>17</v>
      </c>
      <c r="D269" t="s">
        <v>26</v>
      </c>
      <c r="E269" t="s">
        <v>29</v>
      </c>
      <c r="F269">
        <v>263</v>
      </c>
      <c r="G269">
        <v>397</v>
      </c>
      <c r="H269">
        <v>104411</v>
      </c>
      <c r="I269">
        <v>20272</v>
      </c>
    </row>
    <row r="270" spans="1:9">
      <c r="A270" s="2">
        <v>45170</v>
      </c>
      <c r="B270">
        <v>2023</v>
      </c>
      <c r="C270" t="s">
        <v>17</v>
      </c>
      <c r="D270" t="s">
        <v>26</v>
      </c>
      <c r="E270" t="s">
        <v>30</v>
      </c>
      <c r="F270">
        <v>114</v>
      </c>
      <c r="G270">
        <v>327</v>
      </c>
      <c r="H270">
        <v>37278</v>
      </c>
      <c r="I270">
        <v>8167</v>
      </c>
    </row>
    <row r="271" spans="1:9">
      <c r="A271" s="2">
        <v>45170</v>
      </c>
      <c r="B271">
        <v>2023</v>
      </c>
      <c r="C271" t="s">
        <v>17</v>
      </c>
      <c r="D271" t="s">
        <v>26</v>
      </c>
      <c r="E271" t="s">
        <v>31</v>
      </c>
      <c r="F271">
        <v>224</v>
      </c>
      <c r="G271">
        <v>358</v>
      </c>
      <c r="H271">
        <v>80192</v>
      </c>
      <c r="I271">
        <v>16938</v>
      </c>
    </row>
    <row r="272" spans="1:9">
      <c r="A272" s="2">
        <v>45200</v>
      </c>
      <c r="B272">
        <v>2023</v>
      </c>
      <c r="C272" t="s">
        <v>18</v>
      </c>
      <c r="D272" t="s">
        <v>21</v>
      </c>
      <c r="E272" t="s">
        <v>27</v>
      </c>
      <c r="F272">
        <v>225</v>
      </c>
      <c r="G272">
        <v>1125</v>
      </c>
      <c r="H272">
        <v>253125</v>
      </c>
      <c r="I272">
        <v>37148</v>
      </c>
    </row>
    <row r="273" spans="1:9">
      <c r="A273" s="2">
        <v>45200</v>
      </c>
      <c r="B273">
        <v>2023</v>
      </c>
      <c r="C273" t="s">
        <v>18</v>
      </c>
      <c r="D273" t="s">
        <v>21</v>
      </c>
      <c r="E273" t="s">
        <v>28</v>
      </c>
      <c r="F273">
        <v>352</v>
      </c>
      <c r="G273">
        <v>1090</v>
      </c>
      <c r="H273">
        <v>383680</v>
      </c>
      <c r="I273">
        <v>71166</v>
      </c>
    </row>
    <row r="274" spans="1:9">
      <c r="A274" s="2">
        <v>45200</v>
      </c>
      <c r="B274">
        <v>2023</v>
      </c>
      <c r="C274" t="s">
        <v>18</v>
      </c>
      <c r="D274" t="s">
        <v>21</v>
      </c>
      <c r="E274" t="s">
        <v>29</v>
      </c>
      <c r="F274">
        <v>85</v>
      </c>
      <c r="G274">
        <v>1228</v>
      </c>
      <c r="H274">
        <v>104380</v>
      </c>
      <c r="I274">
        <v>22253</v>
      </c>
    </row>
    <row r="275" spans="1:9">
      <c r="A275" s="2">
        <v>45200</v>
      </c>
      <c r="B275">
        <v>2023</v>
      </c>
      <c r="C275" t="s">
        <v>18</v>
      </c>
      <c r="D275" t="s">
        <v>21</v>
      </c>
      <c r="E275" t="s">
        <v>30</v>
      </c>
      <c r="F275">
        <v>188</v>
      </c>
      <c r="G275">
        <v>1326</v>
      </c>
      <c r="H275">
        <v>249288</v>
      </c>
      <c r="I275">
        <v>29065</v>
      </c>
    </row>
    <row r="276" spans="1:9">
      <c r="A276" s="2">
        <v>45200</v>
      </c>
      <c r="B276">
        <v>2023</v>
      </c>
      <c r="C276" t="s">
        <v>18</v>
      </c>
      <c r="D276" t="s">
        <v>21</v>
      </c>
      <c r="E276" t="s">
        <v>31</v>
      </c>
      <c r="F276">
        <v>293</v>
      </c>
      <c r="G276">
        <v>1217</v>
      </c>
      <c r="H276">
        <v>356581</v>
      </c>
      <c r="I276">
        <v>67962</v>
      </c>
    </row>
    <row r="277" spans="1:9">
      <c r="A277" s="2">
        <v>45200</v>
      </c>
      <c r="B277">
        <v>2023</v>
      </c>
      <c r="C277" t="s">
        <v>18</v>
      </c>
      <c r="D277" t="s">
        <v>22</v>
      </c>
      <c r="E277" t="s">
        <v>27</v>
      </c>
      <c r="F277">
        <v>89</v>
      </c>
      <c r="G277">
        <v>879</v>
      </c>
      <c r="H277">
        <v>78231</v>
      </c>
      <c r="I277">
        <v>9582</v>
      </c>
    </row>
    <row r="278" spans="1:9">
      <c r="A278" s="2">
        <v>45200</v>
      </c>
      <c r="B278">
        <v>2023</v>
      </c>
      <c r="C278" t="s">
        <v>18</v>
      </c>
      <c r="D278" t="s">
        <v>22</v>
      </c>
      <c r="E278" t="s">
        <v>28</v>
      </c>
      <c r="F278">
        <v>120</v>
      </c>
      <c r="G278">
        <v>801</v>
      </c>
      <c r="H278">
        <v>96120</v>
      </c>
      <c r="I278">
        <v>20740</v>
      </c>
    </row>
    <row r="279" spans="1:9">
      <c r="A279" s="2">
        <v>45200</v>
      </c>
      <c r="B279">
        <v>2023</v>
      </c>
      <c r="C279" t="s">
        <v>18</v>
      </c>
      <c r="D279" t="s">
        <v>22</v>
      </c>
      <c r="E279" t="s">
        <v>29</v>
      </c>
      <c r="F279">
        <v>166</v>
      </c>
      <c r="G279">
        <v>839</v>
      </c>
      <c r="H279">
        <v>139274</v>
      </c>
      <c r="I279">
        <v>25741</v>
      </c>
    </row>
    <row r="280" spans="1:9">
      <c r="A280" s="2">
        <v>45200</v>
      </c>
      <c r="B280">
        <v>2023</v>
      </c>
      <c r="C280" t="s">
        <v>18</v>
      </c>
      <c r="D280" t="s">
        <v>22</v>
      </c>
      <c r="E280" t="s">
        <v>30</v>
      </c>
      <c r="F280">
        <v>345</v>
      </c>
      <c r="G280">
        <v>770</v>
      </c>
      <c r="H280">
        <v>265650</v>
      </c>
      <c r="I280">
        <v>40340</v>
      </c>
    </row>
    <row r="281" spans="1:9">
      <c r="A281" s="2">
        <v>45200</v>
      </c>
      <c r="B281">
        <v>2023</v>
      </c>
      <c r="C281" t="s">
        <v>18</v>
      </c>
      <c r="D281" t="s">
        <v>22</v>
      </c>
      <c r="E281" t="s">
        <v>31</v>
      </c>
      <c r="F281">
        <v>86</v>
      </c>
      <c r="G281">
        <v>911</v>
      </c>
      <c r="H281">
        <v>78346</v>
      </c>
      <c r="I281">
        <v>11859</v>
      </c>
    </row>
    <row r="282" spans="1:9">
      <c r="A282" s="2">
        <v>45200</v>
      </c>
      <c r="B282">
        <v>2023</v>
      </c>
      <c r="C282" t="s">
        <v>18</v>
      </c>
      <c r="D282" t="s">
        <v>23</v>
      </c>
      <c r="E282" t="s">
        <v>27</v>
      </c>
      <c r="F282">
        <v>203</v>
      </c>
      <c r="G282">
        <v>120</v>
      </c>
      <c r="H282">
        <v>24360</v>
      </c>
      <c r="I282">
        <v>4124</v>
      </c>
    </row>
    <row r="283" spans="1:9">
      <c r="A283" s="2">
        <v>45200</v>
      </c>
      <c r="B283">
        <v>2023</v>
      </c>
      <c r="C283" t="s">
        <v>18</v>
      </c>
      <c r="D283" t="s">
        <v>23</v>
      </c>
      <c r="E283" t="s">
        <v>28</v>
      </c>
      <c r="F283">
        <v>364</v>
      </c>
      <c r="G283">
        <v>126</v>
      </c>
      <c r="H283">
        <v>45864</v>
      </c>
      <c r="I283">
        <v>10859</v>
      </c>
    </row>
    <row r="284" spans="1:9">
      <c r="A284" s="2">
        <v>45200</v>
      </c>
      <c r="B284">
        <v>2023</v>
      </c>
      <c r="C284" t="s">
        <v>18</v>
      </c>
      <c r="D284" t="s">
        <v>23</v>
      </c>
      <c r="E284" t="s">
        <v>29</v>
      </c>
      <c r="F284">
        <v>175</v>
      </c>
      <c r="G284">
        <v>123</v>
      </c>
      <c r="H284">
        <v>21525</v>
      </c>
      <c r="I284">
        <v>4126</v>
      </c>
    </row>
    <row r="285" spans="1:9">
      <c r="A285" s="2">
        <v>45200</v>
      </c>
      <c r="B285">
        <v>2023</v>
      </c>
      <c r="C285" t="s">
        <v>18</v>
      </c>
      <c r="D285" t="s">
        <v>23</v>
      </c>
      <c r="E285" t="s">
        <v>30</v>
      </c>
      <c r="F285">
        <v>181</v>
      </c>
      <c r="G285">
        <v>129</v>
      </c>
      <c r="H285">
        <v>23349</v>
      </c>
      <c r="I285">
        <v>4411</v>
      </c>
    </row>
    <row r="286" spans="1:9">
      <c r="A286" s="2">
        <v>45200</v>
      </c>
      <c r="B286">
        <v>2023</v>
      </c>
      <c r="C286" t="s">
        <v>18</v>
      </c>
      <c r="D286" t="s">
        <v>23</v>
      </c>
      <c r="E286" t="s">
        <v>31</v>
      </c>
      <c r="F286">
        <v>202</v>
      </c>
      <c r="G286">
        <v>135</v>
      </c>
      <c r="H286">
        <v>27270</v>
      </c>
      <c r="I286">
        <v>5619</v>
      </c>
    </row>
    <row r="287" spans="1:9">
      <c r="A287" s="2">
        <v>45200</v>
      </c>
      <c r="B287">
        <v>2023</v>
      </c>
      <c r="C287" t="s">
        <v>18</v>
      </c>
      <c r="D287" t="s">
        <v>24</v>
      </c>
      <c r="E287" t="s">
        <v>27</v>
      </c>
      <c r="F287">
        <v>176</v>
      </c>
      <c r="G287">
        <v>655</v>
      </c>
      <c r="H287">
        <v>115280</v>
      </c>
      <c r="I287">
        <v>18002</v>
      </c>
    </row>
    <row r="288" spans="1:9">
      <c r="A288" s="2">
        <v>45200</v>
      </c>
      <c r="B288">
        <v>2023</v>
      </c>
      <c r="C288" t="s">
        <v>18</v>
      </c>
      <c r="D288" t="s">
        <v>24</v>
      </c>
      <c r="E288" t="s">
        <v>28</v>
      </c>
      <c r="F288">
        <v>124</v>
      </c>
      <c r="G288">
        <v>650</v>
      </c>
      <c r="H288">
        <v>80600</v>
      </c>
      <c r="I288">
        <v>19356</v>
      </c>
    </row>
    <row r="289" spans="1:9">
      <c r="A289" s="2">
        <v>45200</v>
      </c>
      <c r="B289">
        <v>2023</v>
      </c>
      <c r="C289" t="s">
        <v>18</v>
      </c>
      <c r="D289" t="s">
        <v>24</v>
      </c>
      <c r="E289" t="s">
        <v>29</v>
      </c>
      <c r="F289">
        <v>280</v>
      </c>
      <c r="G289">
        <v>676</v>
      </c>
      <c r="H289">
        <v>189280</v>
      </c>
      <c r="I289">
        <v>22414</v>
      </c>
    </row>
    <row r="290" spans="1:9">
      <c r="A290" s="2">
        <v>45200</v>
      </c>
      <c r="B290">
        <v>2023</v>
      </c>
      <c r="C290" t="s">
        <v>18</v>
      </c>
      <c r="D290" t="s">
        <v>24</v>
      </c>
      <c r="E290" t="s">
        <v>30</v>
      </c>
      <c r="F290">
        <v>172</v>
      </c>
      <c r="G290">
        <v>687</v>
      </c>
      <c r="H290">
        <v>118164</v>
      </c>
      <c r="I290">
        <v>26685</v>
      </c>
    </row>
    <row r="291" spans="1:9">
      <c r="A291" s="2">
        <v>45200</v>
      </c>
      <c r="B291">
        <v>2023</v>
      </c>
      <c r="C291" t="s">
        <v>18</v>
      </c>
      <c r="D291" t="s">
        <v>24</v>
      </c>
      <c r="E291" t="s">
        <v>31</v>
      </c>
      <c r="F291">
        <v>249</v>
      </c>
      <c r="G291">
        <v>665</v>
      </c>
      <c r="H291">
        <v>165585</v>
      </c>
      <c r="I291">
        <v>24808</v>
      </c>
    </row>
    <row r="292" spans="1:9">
      <c r="A292" s="2">
        <v>45200</v>
      </c>
      <c r="B292">
        <v>2023</v>
      </c>
      <c r="C292" t="s">
        <v>18</v>
      </c>
      <c r="D292" t="s">
        <v>25</v>
      </c>
      <c r="E292" t="s">
        <v>27</v>
      </c>
      <c r="F292">
        <v>128</v>
      </c>
      <c r="G292">
        <v>239</v>
      </c>
      <c r="H292">
        <v>30592</v>
      </c>
      <c r="I292">
        <v>5848</v>
      </c>
    </row>
    <row r="293" spans="1:9">
      <c r="A293" s="2">
        <v>45200</v>
      </c>
      <c r="B293">
        <v>2023</v>
      </c>
      <c r="C293" t="s">
        <v>18</v>
      </c>
      <c r="D293" t="s">
        <v>25</v>
      </c>
      <c r="E293" t="s">
        <v>28</v>
      </c>
      <c r="F293">
        <v>371</v>
      </c>
      <c r="G293">
        <v>245</v>
      </c>
      <c r="H293">
        <v>90895</v>
      </c>
      <c r="I293">
        <v>20035</v>
      </c>
    </row>
    <row r="294" spans="1:9">
      <c r="A294" s="2">
        <v>45200</v>
      </c>
      <c r="B294">
        <v>2023</v>
      </c>
      <c r="C294" t="s">
        <v>18</v>
      </c>
      <c r="D294" t="s">
        <v>25</v>
      </c>
      <c r="E294" t="s">
        <v>29</v>
      </c>
      <c r="F294">
        <v>187</v>
      </c>
      <c r="G294">
        <v>262</v>
      </c>
      <c r="H294">
        <v>48994</v>
      </c>
      <c r="I294">
        <v>5739</v>
      </c>
    </row>
    <row r="295" spans="1:9">
      <c r="A295" s="2">
        <v>45200</v>
      </c>
      <c r="B295">
        <v>2023</v>
      </c>
      <c r="C295" t="s">
        <v>18</v>
      </c>
      <c r="D295" t="s">
        <v>25</v>
      </c>
      <c r="E295" t="s">
        <v>30</v>
      </c>
      <c r="F295">
        <v>309</v>
      </c>
      <c r="G295">
        <v>258</v>
      </c>
      <c r="H295">
        <v>79722</v>
      </c>
      <c r="I295">
        <v>18972</v>
      </c>
    </row>
    <row r="296" spans="1:9">
      <c r="A296" s="2">
        <v>45200</v>
      </c>
      <c r="B296">
        <v>2023</v>
      </c>
      <c r="C296" t="s">
        <v>18</v>
      </c>
      <c r="D296" t="s">
        <v>25</v>
      </c>
      <c r="E296" t="s">
        <v>31</v>
      </c>
      <c r="F296">
        <v>276</v>
      </c>
      <c r="G296">
        <v>255</v>
      </c>
      <c r="H296">
        <v>70380</v>
      </c>
      <c r="I296">
        <v>16734</v>
      </c>
    </row>
    <row r="297" spans="1:9">
      <c r="A297" s="2">
        <v>45200</v>
      </c>
      <c r="B297">
        <v>2023</v>
      </c>
      <c r="C297" t="s">
        <v>18</v>
      </c>
      <c r="D297" t="s">
        <v>26</v>
      </c>
      <c r="E297" t="s">
        <v>27</v>
      </c>
      <c r="F297">
        <v>198</v>
      </c>
      <c r="G297">
        <v>334</v>
      </c>
      <c r="H297">
        <v>66132</v>
      </c>
      <c r="I297">
        <v>11101</v>
      </c>
    </row>
    <row r="298" spans="1:9">
      <c r="A298" s="2">
        <v>45200</v>
      </c>
      <c r="B298">
        <v>2023</v>
      </c>
      <c r="C298" t="s">
        <v>18</v>
      </c>
      <c r="D298" t="s">
        <v>26</v>
      </c>
      <c r="E298" t="s">
        <v>28</v>
      </c>
      <c r="F298">
        <v>246</v>
      </c>
      <c r="G298">
        <v>336</v>
      </c>
      <c r="H298">
        <v>82656</v>
      </c>
      <c r="I298">
        <v>15427</v>
      </c>
    </row>
    <row r="299" spans="1:9">
      <c r="A299" s="2">
        <v>45200</v>
      </c>
      <c r="B299">
        <v>2023</v>
      </c>
      <c r="C299" t="s">
        <v>18</v>
      </c>
      <c r="D299" t="s">
        <v>26</v>
      </c>
      <c r="E299" t="s">
        <v>29</v>
      </c>
      <c r="F299">
        <v>247</v>
      </c>
      <c r="G299">
        <v>351</v>
      </c>
      <c r="H299">
        <v>86697</v>
      </c>
      <c r="I299">
        <v>20566</v>
      </c>
    </row>
    <row r="300" spans="1:9">
      <c r="A300" s="2">
        <v>45200</v>
      </c>
      <c r="B300">
        <v>2023</v>
      </c>
      <c r="C300" t="s">
        <v>18</v>
      </c>
      <c r="D300" t="s">
        <v>26</v>
      </c>
      <c r="E300" t="s">
        <v>30</v>
      </c>
      <c r="F300">
        <v>244</v>
      </c>
      <c r="G300">
        <v>383</v>
      </c>
      <c r="H300">
        <v>93452</v>
      </c>
      <c r="I300">
        <v>13236</v>
      </c>
    </row>
    <row r="301" spans="1:9">
      <c r="A301" s="2">
        <v>45200</v>
      </c>
      <c r="B301">
        <v>2023</v>
      </c>
      <c r="C301" t="s">
        <v>18</v>
      </c>
      <c r="D301" t="s">
        <v>26</v>
      </c>
      <c r="E301" t="s">
        <v>31</v>
      </c>
      <c r="F301">
        <v>222</v>
      </c>
      <c r="G301">
        <v>316</v>
      </c>
      <c r="H301">
        <v>70152</v>
      </c>
      <c r="I301">
        <v>13997</v>
      </c>
    </row>
    <row r="302" spans="1:9">
      <c r="A302" s="2">
        <v>45231</v>
      </c>
      <c r="B302">
        <v>2023</v>
      </c>
      <c r="C302" t="s">
        <v>19</v>
      </c>
      <c r="D302" t="s">
        <v>21</v>
      </c>
      <c r="E302" t="s">
        <v>27</v>
      </c>
      <c r="F302">
        <v>158</v>
      </c>
      <c r="G302">
        <v>1217</v>
      </c>
      <c r="H302">
        <v>192286</v>
      </c>
      <c r="I302">
        <v>35302</v>
      </c>
    </row>
    <row r="303" spans="1:9">
      <c r="A303" s="2">
        <v>45231</v>
      </c>
      <c r="B303">
        <v>2023</v>
      </c>
      <c r="C303" t="s">
        <v>19</v>
      </c>
      <c r="D303" t="s">
        <v>21</v>
      </c>
      <c r="E303" t="s">
        <v>28</v>
      </c>
      <c r="F303">
        <v>138</v>
      </c>
      <c r="G303">
        <v>1379</v>
      </c>
      <c r="H303">
        <v>190302</v>
      </c>
      <c r="I303">
        <v>33365</v>
      </c>
    </row>
    <row r="304" spans="1:9">
      <c r="A304" s="2">
        <v>45231</v>
      </c>
      <c r="B304">
        <v>2023</v>
      </c>
      <c r="C304" t="s">
        <v>19</v>
      </c>
      <c r="D304" t="s">
        <v>21</v>
      </c>
      <c r="E304" t="s">
        <v>29</v>
      </c>
      <c r="F304">
        <v>327</v>
      </c>
      <c r="G304">
        <v>1172</v>
      </c>
      <c r="H304">
        <v>383244</v>
      </c>
      <c r="I304">
        <v>61164</v>
      </c>
    </row>
    <row r="305" spans="1:9">
      <c r="A305" s="2">
        <v>45231</v>
      </c>
      <c r="B305">
        <v>2023</v>
      </c>
      <c r="C305" t="s">
        <v>19</v>
      </c>
      <c r="D305" t="s">
        <v>21</v>
      </c>
      <c r="E305" t="s">
        <v>30</v>
      </c>
      <c r="F305">
        <v>282</v>
      </c>
      <c r="G305">
        <v>1184</v>
      </c>
      <c r="H305">
        <v>333888</v>
      </c>
      <c r="I305">
        <v>56839</v>
      </c>
    </row>
    <row r="306" spans="1:9">
      <c r="A306" s="2">
        <v>45231</v>
      </c>
      <c r="B306">
        <v>2023</v>
      </c>
      <c r="C306" t="s">
        <v>19</v>
      </c>
      <c r="D306" t="s">
        <v>21</v>
      </c>
      <c r="E306" t="s">
        <v>31</v>
      </c>
      <c r="F306">
        <v>374</v>
      </c>
      <c r="G306">
        <v>1090</v>
      </c>
      <c r="H306">
        <v>407660</v>
      </c>
      <c r="I306">
        <v>69632</v>
      </c>
    </row>
    <row r="307" spans="1:9">
      <c r="A307" s="2">
        <v>45231</v>
      </c>
      <c r="B307">
        <v>2023</v>
      </c>
      <c r="C307" t="s">
        <v>19</v>
      </c>
      <c r="D307" t="s">
        <v>22</v>
      </c>
      <c r="E307" t="s">
        <v>27</v>
      </c>
      <c r="F307">
        <v>95</v>
      </c>
      <c r="G307">
        <v>733</v>
      </c>
      <c r="H307">
        <v>69635</v>
      </c>
      <c r="I307">
        <v>15064</v>
      </c>
    </row>
    <row r="308" spans="1:9">
      <c r="A308" s="2">
        <v>45231</v>
      </c>
      <c r="B308">
        <v>2023</v>
      </c>
      <c r="C308" t="s">
        <v>19</v>
      </c>
      <c r="D308" t="s">
        <v>22</v>
      </c>
      <c r="E308" t="s">
        <v>28</v>
      </c>
      <c r="F308">
        <v>247</v>
      </c>
      <c r="G308">
        <v>825</v>
      </c>
      <c r="H308">
        <v>203775</v>
      </c>
      <c r="I308">
        <v>36713</v>
      </c>
    </row>
    <row r="309" spans="1:9">
      <c r="A309" s="2">
        <v>45231</v>
      </c>
      <c r="B309">
        <v>2023</v>
      </c>
      <c r="C309" t="s">
        <v>19</v>
      </c>
      <c r="D309" t="s">
        <v>22</v>
      </c>
      <c r="E309" t="s">
        <v>29</v>
      </c>
      <c r="F309">
        <v>187</v>
      </c>
      <c r="G309">
        <v>800</v>
      </c>
      <c r="H309">
        <v>149600</v>
      </c>
      <c r="I309">
        <v>27518</v>
      </c>
    </row>
    <row r="310" spans="1:9">
      <c r="A310" s="2">
        <v>45231</v>
      </c>
      <c r="B310">
        <v>2023</v>
      </c>
      <c r="C310" t="s">
        <v>19</v>
      </c>
      <c r="D310" t="s">
        <v>22</v>
      </c>
      <c r="E310" t="s">
        <v>30</v>
      </c>
      <c r="F310">
        <v>388</v>
      </c>
      <c r="G310">
        <v>740</v>
      </c>
      <c r="H310">
        <v>287120</v>
      </c>
      <c r="I310">
        <v>43112</v>
      </c>
    </row>
    <row r="311" spans="1:9">
      <c r="A311" s="2">
        <v>45231</v>
      </c>
      <c r="B311">
        <v>2023</v>
      </c>
      <c r="C311" t="s">
        <v>19</v>
      </c>
      <c r="D311" t="s">
        <v>22</v>
      </c>
      <c r="E311" t="s">
        <v>31</v>
      </c>
      <c r="F311">
        <v>130</v>
      </c>
      <c r="G311">
        <v>909</v>
      </c>
      <c r="H311">
        <v>118170</v>
      </c>
      <c r="I311">
        <v>18434</v>
      </c>
    </row>
    <row r="312" spans="1:9">
      <c r="A312" s="2">
        <v>45231</v>
      </c>
      <c r="B312">
        <v>2023</v>
      </c>
      <c r="C312" t="s">
        <v>19</v>
      </c>
      <c r="D312" t="s">
        <v>23</v>
      </c>
      <c r="E312" t="s">
        <v>27</v>
      </c>
      <c r="F312">
        <v>234</v>
      </c>
      <c r="G312">
        <v>120</v>
      </c>
      <c r="H312">
        <v>28080</v>
      </c>
      <c r="I312">
        <v>2914</v>
      </c>
    </row>
    <row r="313" spans="1:9">
      <c r="A313" s="2">
        <v>45231</v>
      </c>
      <c r="B313">
        <v>2023</v>
      </c>
      <c r="C313" t="s">
        <v>19</v>
      </c>
      <c r="D313" t="s">
        <v>23</v>
      </c>
      <c r="E313" t="s">
        <v>28</v>
      </c>
      <c r="F313">
        <v>357</v>
      </c>
      <c r="G313">
        <v>129</v>
      </c>
      <c r="H313">
        <v>46053</v>
      </c>
      <c r="I313">
        <v>9157</v>
      </c>
    </row>
    <row r="314" spans="1:9">
      <c r="A314" s="2">
        <v>45231</v>
      </c>
      <c r="B314">
        <v>2023</v>
      </c>
      <c r="C314" t="s">
        <v>19</v>
      </c>
      <c r="D314" t="s">
        <v>23</v>
      </c>
      <c r="E314" t="s">
        <v>29</v>
      </c>
      <c r="F314">
        <v>382</v>
      </c>
      <c r="G314">
        <v>114</v>
      </c>
      <c r="H314">
        <v>43548</v>
      </c>
      <c r="I314">
        <v>5864</v>
      </c>
    </row>
    <row r="315" spans="1:9">
      <c r="A315" s="2">
        <v>45231</v>
      </c>
      <c r="B315">
        <v>2023</v>
      </c>
      <c r="C315" t="s">
        <v>19</v>
      </c>
      <c r="D315" t="s">
        <v>23</v>
      </c>
      <c r="E315" t="s">
        <v>30</v>
      </c>
      <c r="F315">
        <v>325</v>
      </c>
      <c r="G315">
        <v>108</v>
      </c>
      <c r="H315">
        <v>35100</v>
      </c>
      <c r="I315">
        <v>4058</v>
      </c>
    </row>
    <row r="316" spans="1:9">
      <c r="A316" s="2">
        <v>45231</v>
      </c>
      <c r="B316">
        <v>2023</v>
      </c>
      <c r="C316" t="s">
        <v>19</v>
      </c>
      <c r="D316" t="s">
        <v>23</v>
      </c>
      <c r="E316" t="s">
        <v>31</v>
      </c>
      <c r="F316">
        <v>310</v>
      </c>
      <c r="G316">
        <v>125</v>
      </c>
      <c r="H316">
        <v>38750</v>
      </c>
      <c r="I316">
        <v>9033</v>
      </c>
    </row>
    <row r="317" spans="1:9">
      <c r="A317" s="2">
        <v>45231</v>
      </c>
      <c r="B317">
        <v>2023</v>
      </c>
      <c r="C317" t="s">
        <v>19</v>
      </c>
      <c r="D317" t="s">
        <v>24</v>
      </c>
      <c r="E317" t="s">
        <v>27</v>
      </c>
      <c r="F317">
        <v>166</v>
      </c>
      <c r="G317">
        <v>575</v>
      </c>
      <c r="H317">
        <v>95450</v>
      </c>
      <c r="I317">
        <v>10968</v>
      </c>
    </row>
    <row r="318" spans="1:9">
      <c r="A318" s="2">
        <v>45231</v>
      </c>
      <c r="B318">
        <v>2023</v>
      </c>
      <c r="C318" t="s">
        <v>19</v>
      </c>
      <c r="D318" t="s">
        <v>24</v>
      </c>
      <c r="E318" t="s">
        <v>28</v>
      </c>
      <c r="F318">
        <v>170</v>
      </c>
      <c r="G318">
        <v>688</v>
      </c>
      <c r="H318">
        <v>116960</v>
      </c>
      <c r="I318">
        <v>22278</v>
      </c>
    </row>
    <row r="319" spans="1:9">
      <c r="A319" s="2">
        <v>45231</v>
      </c>
      <c r="B319">
        <v>2023</v>
      </c>
      <c r="C319" t="s">
        <v>19</v>
      </c>
      <c r="D319" t="s">
        <v>24</v>
      </c>
      <c r="E319" t="s">
        <v>29</v>
      </c>
      <c r="F319">
        <v>371</v>
      </c>
      <c r="G319">
        <v>664</v>
      </c>
      <c r="H319">
        <v>246344</v>
      </c>
      <c r="I319">
        <v>39310</v>
      </c>
    </row>
    <row r="320" spans="1:9">
      <c r="A320" s="2">
        <v>45231</v>
      </c>
      <c r="B320">
        <v>2023</v>
      </c>
      <c r="C320" t="s">
        <v>19</v>
      </c>
      <c r="D320" t="s">
        <v>24</v>
      </c>
      <c r="E320" t="s">
        <v>30</v>
      </c>
      <c r="F320">
        <v>237</v>
      </c>
      <c r="G320">
        <v>561</v>
      </c>
      <c r="H320">
        <v>132957</v>
      </c>
      <c r="I320">
        <v>21400</v>
      </c>
    </row>
    <row r="321" spans="1:9">
      <c r="A321" s="2">
        <v>45231</v>
      </c>
      <c r="B321">
        <v>2023</v>
      </c>
      <c r="C321" t="s">
        <v>19</v>
      </c>
      <c r="D321" t="s">
        <v>24</v>
      </c>
      <c r="E321" t="s">
        <v>31</v>
      </c>
      <c r="F321">
        <v>380</v>
      </c>
      <c r="G321">
        <v>674</v>
      </c>
      <c r="H321">
        <v>256120</v>
      </c>
      <c r="I321">
        <v>26111</v>
      </c>
    </row>
    <row r="322" spans="1:9">
      <c r="A322" s="2">
        <v>45231</v>
      </c>
      <c r="B322">
        <v>2023</v>
      </c>
      <c r="C322" t="s">
        <v>19</v>
      </c>
      <c r="D322" t="s">
        <v>25</v>
      </c>
      <c r="E322" t="s">
        <v>27</v>
      </c>
      <c r="F322">
        <v>333</v>
      </c>
      <c r="G322">
        <v>270</v>
      </c>
      <c r="H322">
        <v>89910</v>
      </c>
      <c r="I322">
        <v>20429</v>
      </c>
    </row>
    <row r="323" spans="1:9">
      <c r="A323" s="2">
        <v>45231</v>
      </c>
      <c r="B323">
        <v>2023</v>
      </c>
      <c r="C323" t="s">
        <v>19</v>
      </c>
      <c r="D323" t="s">
        <v>25</v>
      </c>
      <c r="E323" t="s">
        <v>28</v>
      </c>
      <c r="F323">
        <v>186</v>
      </c>
      <c r="G323">
        <v>236</v>
      </c>
      <c r="H323">
        <v>43896</v>
      </c>
      <c r="I323">
        <v>8228</v>
      </c>
    </row>
    <row r="324" spans="1:9">
      <c r="A324" s="2">
        <v>45231</v>
      </c>
      <c r="B324">
        <v>2023</v>
      </c>
      <c r="C324" t="s">
        <v>19</v>
      </c>
      <c r="D324" t="s">
        <v>25</v>
      </c>
      <c r="E324" t="s">
        <v>29</v>
      </c>
      <c r="F324">
        <v>260</v>
      </c>
      <c r="G324">
        <v>268</v>
      </c>
      <c r="H324">
        <v>69680</v>
      </c>
      <c r="I324">
        <v>16485</v>
      </c>
    </row>
    <row r="325" spans="1:9">
      <c r="A325" s="2">
        <v>45231</v>
      </c>
      <c r="B325">
        <v>2023</v>
      </c>
      <c r="C325" t="s">
        <v>19</v>
      </c>
      <c r="D325" t="s">
        <v>25</v>
      </c>
      <c r="E325" t="s">
        <v>30</v>
      </c>
      <c r="F325">
        <v>269</v>
      </c>
      <c r="G325">
        <v>246</v>
      </c>
      <c r="H325">
        <v>66174</v>
      </c>
      <c r="I325">
        <v>9192</v>
      </c>
    </row>
    <row r="326" spans="1:9">
      <c r="A326" s="2">
        <v>45231</v>
      </c>
      <c r="B326">
        <v>2023</v>
      </c>
      <c r="C326" t="s">
        <v>19</v>
      </c>
      <c r="D326" t="s">
        <v>25</v>
      </c>
      <c r="E326" t="s">
        <v>31</v>
      </c>
      <c r="F326">
        <v>267</v>
      </c>
      <c r="G326">
        <v>261</v>
      </c>
      <c r="H326">
        <v>69687</v>
      </c>
      <c r="I326">
        <v>9770</v>
      </c>
    </row>
    <row r="327" spans="1:9">
      <c r="A327" s="2">
        <v>45231</v>
      </c>
      <c r="B327">
        <v>2023</v>
      </c>
      <c r="C327" t="s">
        <v>19</v>
      </c>
      <c r="D327" t="s">
        <v>26</v>
      </c>
      <c r="E327" t="s">
        <v>27</v>
      </c>
      <c r="F327">
        <v>331</v>
      </c>
      <c r="G327">
        <v>345</v>
      </c>
      <c r="H327">
        <v>114195</v>
      </c>
      <c r="I327">
        <v>24674</v>
      </c>
    </row>
    <row r="328" spans="1:9">
      <c r="A328" s="2">
        <v>45231</v>
      </c>
      <c r="B328">
        <v>2023</v>
      </c>
      <c r="C328" t="s">
        <v>19</v>
      </c>
      <c r="D328" t="s">
        <v>26</v>
      </c>
      <c r="E328" t="s">
        <v>28</v>
      </c>
      <c r="F328">
        <v>297</v>
      </c>
      <c r="G328">
        <v>390</v>
      </c>
      <c r="H328">
        <v>115830</v>
      </c>
      <c r="I328">
        <v>15396</v>
      </c>
    </row>
    <row r="329" spans="1:9">
      <c r="A329" s="2">
        <v>45231</v>
      </c>
      <c r="B329">
        <v>2023</v>
      </c>
      <c r="C329" t="s">
        <v>19</v>
      </c>
      <c r="D329" t="s">
        <v>26</v>
      </c>
      <c r="E329" t="s">
        <v>29</v>
      </c>
      <c r="F329">
        <v>350</v>
      </c>
      <c r="G329">
        <v>324</v>
      </c>
      <c r="H329">
        <v>113400</v>
      </c>
      <c r="I329">
        <v>20963</v>
      </c>
    </row>
    <row r="330" spans="1:9">
      <c r="A330" s="2">
        <v>45231</v>
      </c>
      <c r="B330">
        <v>2023</v>
      </c>
      <c r="C330" t="s">
        <v>19</v>
      </c>
      <c r="D330" t="s">
        <v>26</v>
      </c>
      <c r="E330" t="s">
        <v>30</v>
      </c>
      <c r="F330">
        <v>134</v>
      </c>
      <c r="G330">
        <v>393</v>
      </c>
      <c r="H330">
        <v>52662</v>
      </c>
      <c r="I330">
        <v>11584</v>
      </c>
    </row>
    <row r="331" spans="1:9">
      <c r="A331" s="2">
        <v>45231</v>
      </c>
      <c r="B331">
        <v>2023</v>
      </c>
      <c r="C331" t="s">
        <v>19</v>
      </c>
      <c r="D331" t="s">
        <v>26</v>
      </c>
      <c r="E331" t="s">
        <v>31</v>
      </c>
      <c r="F331">
        <v>280</v>
      </c>
      <c r="G331">
        <v>357</v>
      </c>
      <c r="H331">
        <v>99960</v>
      </c>
      <c r="I331">
        <v>17679</v>
      </c>
    </row>
    <row r="332" spans="1:9">
      <c r="A332" s="2">
        <v>45261</v>
      </c>
      <c r="B332">
        <v>2023</v>
      </c>
      <c r="C332" t="s">
        <v>20</v>
      </c>
      <c r="D332" t="s">
        <v>21</v>
      </c>
      <c r="E332" t="s">
        <v>27</v>
      </c>
      <c r="F332">
        <v>88</v>
      </c>
      <c r="G332">
        <v>1242</v>
      </c>
      <c r="H332">
        <v>109296</v>
      </c>
      <c r="I332">
        <v>21315</v>
      </c>
    </row>
    <row r="333" spans="1:9">
      <c r="A333" s="2">
        <v>45261</v>
      </c>
      <c r="B333">
        <v>2023</v>
      </c>
      <c r="C333" t="s">
        <v>20</v>
      </c>
      <c r="D333" t="s">
        <v>21</v>
      </c>
      <c r="E333" t="s">
        <v>28</v>
      </c>
      <c r="F333">
        <v>280</v>
      </c>
      <c r="G333">
        <v>1121</v>
      </c>
      <c r="H333">
        <v>313880</v>
      </c>
      <c r="I333">
        <v>70698</v>
      </c>
    </row>
    <row r="334" spans="1:9">
      <c r="A334" s="2">
        <v>45261</v>
      </c>
      <c r="B334">
        <v>2023</v>
      </c>
      <c r="C334" t="s">
        <v>20</v>
      </c>
      <c r="D334" t="s">
        <v>21</v>
      </c>
      <c r="E334" t="s">
        <v>29</v>
      </c>
      <c r="F334">
        <v>83</v>
      </c>
      <c r="G334">
        <v>1119</v>
      </c>
      <c r="H334">
        <v>92877</v>
      </c>
      <c r="I334">
        <v>21834</v>
      </c>
    </row>
    <row r="335" spans="1:9">
      <c r="A335" s="2">
        <v>45261</v>
      </c>
      <c r="B335">
        <v>2023</v>
      </c>
      <c r="C335" t="s">
        <v>20</v>
      </c>
      <c r="D335" t="s">
        <v>21</v>
      </c>
      <c r="E335" t="s">
        <v>30</v>
      </c>
      <c r="F335">
        <v>177</v>
      </c>
      <c r="G335">
        <v>1161</v>
      </c>
      <c r="H335">
        <v>205497</v>
      </c>
      <c r="I335">
        <v>21116</v>
      </c>
    </row>
    <row r="336" spans="1:9">
      <c r="A336" s="2">
        <v>45261</v>
      </c>
      <c r="B336">
        <v>2023</v>
      </c>
      <c r="C336" t="s">
        <v>20</v>
      </c>
      <c r="D336" t="s">
        <v>21</v>
      </c>
      <c r="E336" t="s">
        <v>31</v>
      </c>
      <c r="F336">
        <v>225</v>
      </c>
      <c r="G336">
        <v>1238</v>
      </c>
      <c r="H336">
        <v>278550</v>
      </c>
      <c r="I336">
        <v>61910</v>
      </c>
    </row>
    <row r="337" spans="1:9">
      <c r="A337" s="2">
        <v>45261</v>
      </c>
      <c r="B337">
        <v>2023</v>
      </c>
      <c r="C337" t="s">
        <v>20</v>
      </c>
      <c r="D337" t="s">
        <v>22</v>
      </c>
      <c r="E337" t="s">
        <v>27</v>
      </c>
      <c r="F337">
        <v>120</v>
      </c>
      <c r="G337">
        <v>774</v>
      </c>
      <c r="H337">
        <v>92880</v>
      </c>
      <c r="I337">
        <v>17008</v>
      </c>
    </row>
    <row r="338" spans="1:9">
      <c r="A338" s="2">
        <v>45261</v>
      </c>
      <c r="B338">
        <v>2023</v>
      </c>
      <c r="C338" t="s">
        <v>20</v>
      </c>
      <c r="D338" t="s">
        <v>22</v>
      </c>
      <c r="E338" t="s">
        <v>28</v>
      </c>
      <c r="F338">
        <v>232</v>
      </c>
      <c r="G338">
        <v>819</v>
      </c>
      <c r="H338">
        <v>190008</v>
      </c>
      <c r="I338">
        <v>39527</v>
      </c>
    </row>
    <row r="339" spans="1:9">
      <c r="A339" s="2">
        <v>45261</v>
      </c>
      <c r="B339">
        <v>2023</v>
      </c>
      <c r="C339" t="s">
        <v>20</v>
      </c>
      <c r="D339" t="s">
        <v>22</v>
      </c>
      <c r="E339" t="s">
        <v>29</v>
      </c>
      <c r="F339">
        <v>196</v>
      </c>
      <c r="G339">
        <v>722</v>
      </c>
      <c r="H339">
        <v>141512</v>
      </c>
      <c r="I339">
        <v>17056</v>
      </c>
    </row>
    <row r="340" spans="1:9">
      <c r="A340" s="2">
        <v>45261</v>
      </c>
      <c r="B340">
        <v>2023</v>
      </c>
      <c r="C340" t="s">
        <v>20</v>
      </c>
      <c r="D340" t="s">
        <v>22</v>
      </c>
      <c r="E340" t="s">
        <v>30</v>
      </c>
      <c r="F340">
        <v>392</v>
      </c>
      <c r="G340">
        <v>773</v>
      </c>
      <c r="H340">
        <v>303016</v>
      </c>
      <c r="I340">
        <v>63581</v>
      </c>
    </row>
    <row r="341" spans="1:9">
      <c r="A341" s="2">
        <v>45261</v>
      </c>
      <c r="B341">
        <v>2023</v>
      </c>
      <c r="C341" t="s">
        <v>20</v>
      </c>
      <c r="D341" t="s">
        <v>22</v>
      </c>
      <c r="E341" t="s">
        <v>31</v>
      </c>
      <c r="F341">
        <v>177</v>
      </c>
      <c r="G341">
        <v>840</v>
      </c>
      <c r="H341">
        <v>148680</v>
      </c>
      <c r="I341">
        <v>29699</v>
      </c>
    </row>
    <row r="342" spans="1:9">
      <c r="A342" s="2">
        <v>45261</v>
      </c>
      <c r="B342">
        <v>2023</v>
      </c>
      <c r="C342" t="s">
        <v>20</v>
      </c>
      <c r="D342" t="s">
        <v>23</v>
      </c>
      <c r="E342" t="s">
        <v>27</v>
      </c>
      <c r="F342">
        <v>252</v>
      </c>
      <c r="G342">
        <v>133</v>
      </c>
      <c r="H342">
        <v>33516</v>
      </c>
      <c r="I342">
        <v>5384</v>
      </c>
    </row>
    <row r="343" spans="1:9">
      <c r="A343" s="2">
        <v>45261</v>
      </c>
      <c r="B343">
        <v>2023</v>
      </c>
      <c r="C343" t="s">
        <v>20</v>
      </c>
      <c r="D343" t="s">
        <v>23</v>
      </c>
      <c r="E343" t="s">
        <v>28</v>
      </c>
      <c r="F343">
        <v>269</v>
      </c>
      <c r="G343">
        <v>123</v>
      </c>
      <c r="H343">
        <v>33087</v>
      </c>
      <c r="I343">
        <v>3541</v>
      </c>
    </row>
    <row r="344" spans="1:9">
      <c r="A344" s="2">
        <v>45261</v>
      </c>
      <c r="B344">
        <v>2023</v>
      </c>
      <c r="C344" t="s">
        <v>20</v>
      </c>
      <c r="D344" t="s">
        <v>23</v>
      </c>
      <c r="E344" t="s">
        <v>29</v>
      </c>
      <c r="F344">
        <v>389</v>
      </c>
      <c r="G344">
        <v>130</v>
      </c>
      <c r="H344">
        <v>50570</v>
      </c>
      <c r="I344">
        <v>5685</v>
      </c>
    </row>
    <row r="345" spans="1:9">
      <c r="A345" s="2">
        <v>45261</v>
      </c>
      <c r="B345">
        <v>2023</v>
      </c>
      <c r="C345" t="s">
        <v>20</v>
      </c>
      <c r="D345" t="s">
        <v>23</v>
      </c>
      <c r="E345" t="s">
        <v>30</v>
      </c>
      <c r="F345">
        <v>371</v>
      </c>
      <c r="G345">
        <v>131</v>
      </c>
      <c r="H345">
        <v>48601</v>
      </c>
      <c r="I345">
        <v>5357</v>
      </c>
    </row>
    <row r="346" spans="1:9">
      <c r="A346" s="2">
        <v>45261</v>
      </c>
      <c r="B346">
        <v>2023</v>
      </c>
      <c r="C346" t="s">
        <v>20</v>
      </c>
      <c r="D346" t="s">
        <v>23</v>
      </c>
      <c r="E346" t="s">
        <v>31</v>
      </c>
      <c r="F346">
        <v>346</v>
      </c>
      <c r="G346">
        <v>116</v>
      </c>
      <c r="H346">
        <v>40136</v>
      </c>
      <c r="I346">
        <v>6154</v>
      </c>
    </row>
    <row r="347" spans="1:9">
      <c r="A347" s="2">
        <v>45261</v>
      </c>
      <c r="B347">
        <v>2023</v>
      </c>
      <c r="C347" t="s">
        <v>20</v>
      </c>
      <c r="D347" t="s">
        <v>24</v>
      </c>
      <c r="E347" t="s">
        <v>27</v>
      </c>
      <c r="F347">
        <v>192</v>
      </c>
      <c r="G347">
        <v>648</v>
      </c>
      <c r="H347">
        <v>124416</v>
      </c>
      <c r="I347">
        <v>23833</v>
      </c>
    </row>
    <row r="348" spans="1:9">
      <c r="A348" s="2">
        <v>45261</v>
      </c>
      <c r="B348">
        <v>2023</v>
      </c>
      <c r="C348" t="s">
        <v>20</v>
      </c>
      <c r="D348" t="s">
        <v>24</v>
      </c>
      <c r="E348" t="s">
        <v>28</v>
      </c>
      <c r="F348">
        <v>389</v>
      </c>
      <c r="G348">
        <v>611</v>
      </c>
      <c r="H348">
        <v>237679</v>
      </c>
      <c r="I348">
        <v>47429</v>
      </c>
    </row>
    <row r="349" spans="1:9">
      <c r="A349" s="2">
        <v>45261</v>
      </c>
      <c r="B349">
        <v>2023</v>
      </c>
      <c r="C349" t="s">
        <v>20</v>
      </c>
      <c r="D349" t="s">
        <v>24</v>
      </c>
      <c r="E349" t="s">
        <v>29</v>
      </c>
      <c r="F349">
        <v>325</v>
      </c>
      <c r="G349">
        <v>560</v>
      </c>
      <c r="H349">
        <v>182000</v>
      </c>
      <c r="I349">
        <v>31406</v>
      </c>
    </row>
    <row r="350" spans="1:9">
      <c r="A350" s="2">
        <v>45261</v>
      </c>
      <c r="B350">
        <v>2023</v>
      </c>
      <c r="C350" t="s">
        <v>20</v>
      </c>
      <c r="D350" t="s">
        <v>24</v>
      </c>
      <c r="E350" t="s">
        <v>30</v>
      </c>
      <c r="F350">
        <v>329</v>
      </c>
      <c r="G350">
        <v>544</v>
      </c>
      <c r="H350">
        <v>178976</v>
      </c>
      <c r="I350">
        <v>24938</v>
      </c>
    </row>
    <row r="351" spans="1:9">
      <c r="A351" s="2">
        <v>45261</v>
      </c>
      <c r="B351">
        <v>2023</v>
      </c>
      <c r="C351" t="s">
        <v>20</v>
      </c>
      <c r="D351" t="s">
        <v>24</v>
      </c>
      <c r="E351" t="s">
        <v>31</v>
      </c>
      <c r="F351">
        <v>306</v>
      </c>
      <c r="G351">
        <v>666</v>
      </c>
      <c r="H351">
        <v>203796</v>
      </c>
      <c r="I351">
        <v>46253</v>
      </c>
    </row>
    <row r="352" spans="1:9">
      <c r="A352" s="2">
        <v>45261</v>
      </c>
      <c r="B352">
        <v>2023</v>
      </c>
      <c r="C352" t="s">
        <v>20</v>
      </c>
      <c r="D352" t="s">
        <v>25</v>
      </c>
      <c r="E352" t="s">
        <v>27</v>
      </c>
      <c r="F352">
        <v>280</v>
      </c>
      <c r="G352">
        <v>273</v>
      </c>
      <c r="H352">
        <v>76440</v>
      </c>
      <c r="I352">
        <v>8866</v>
      </c>
    </row>
    <row r="353" spans="1:9">
      <c r="A353" s="2">
        <v>45261</v>
      </c>
      <c r="B353">
        <v>2023</v>
      </c>
      <c r="C353" t="s">
        <v>20</v>
      </c>
      <c r="D353" t="s">
        <v>25</v>
      </c>
      <c r="E353" t="s">
        <v>28</v>
      </c>
      <c r="F353">
        <v>280</v>
      </c>
      <c r="G353">
        <v>246</v>
      </c>
      <c r="H353">
        <v>68880</v>
      </c>
      <c r="I353">
        <v>11152</v>
      </c>
    </row>
    <row r="354" spans="1:9">
      <c r="A354" s="2">
        <v>45261</v>
      </c>
      <c r="B354">
        <v>2023</v>
      </c>
      <c r="C354" t="s">
        <v>20</v>
      </c>
      <c r="D354" t="s">
        <v>25</v>
      </c>
      <c r="E354" t="s">
        <v>29</v>
      </c>
      <c r="F354">
        <v>140</v>
      </c>
      <c r="G354">
        <v>268</v>
      </c>
      <c r="H354">
        <v>37520</v>
      </c>
      <c r="I354">
        <v>6199</v>
      </c>
    </row>
    <row r="355" spans="1:9">
      <c r="A355" s="2">
        <v>45261</v>
      </c>
      <c r="B355">
        <v>2023</v>
      </c>
      <c r="C355" t="s">
        <v>20</v>
      </c>
      <c r="D355" t="s">
        <v>25</v>
      </c>
      <c r="E355" t="s">
        <v>30</v>
      </c>
      <c r="F355">
        <v>118</v>
      </c>
      <c r="G355">
        <v>229</v>
      </c>
      <c r="H355">
        <v>27022</v>
      </c>
      <c r="I355">
        <v>3017</v>
      </c>
    </row>
    <row r="356" spans="1:9">
      <c r="A356" s="2">
        <v>45261</v>
      </c>
      <c r="B356">
        <v>2023</v>
      </c>
      <c r="C356" t="s">
        <v>20</v>
      </c>
      <c r="D356" t="s">
        <v>25</v>
      </c>
      <c r="E356" t="s">
        <v>31</v>
      </c>
      <c r="F356">
        <v>187</v>
      </c>
      <c r="G356">
        <v>268</v>
      </c>
      <c r="H356">
        <v>50116</v>
      </c>
      <c r="I356">
        <v>7057</v>
      </c>
    </row>
    <row r="357" spans="1:9">
      <c r="A357" s="2">
        <v>45261</v>
      </c>
      <c r="B357">
        <v>2023</v>
      </c>
      <c r="C357" t="s">
        <v>20</v>
      </c>
      <c r="D357" t="s">
        <v>26</v>
      </c>
      <c r="E357" t="s">
        <v>27</v>
      </c>
      <c r="F357">
        <v>91</v>
      </c>
      <c r="G357">
        <v>346</v>
      </c>
      <c r="H357">
        <v>31486</v>
      </c>
      <c r="I357">
        <v>3581</v>
      </c>
    </row>
    <row r="358" spans="1:9">
      <c r="A358" s="2">
        <v>45261</v>
      </c>
      <c r="B358">
        <v>2023</v>
      </c>
      <c r="C358" t="s">
        <v>20</v>
      </c>
      <c r="D358" t="s">
        <v>26</v>
      </c>
      <c r="E358" t="s">
        <v>28</v>
      </c>
      <c r="F358">
        <v>384</v>
      </c>
      <c r="G358">
        <v>326</v>
      </c>
      <c r="H358">
        <v>125184</v>
      </c>
      <c r="I358">
        <v>30361</v>
      </c>
    </row>
    <row r="359" spans="1:9">
      <c r="A359" s="2">
        <v>45261</v>
      </c>
      <c r="B359">
        <v>2023</v>
      </c>
      <c r="C359" t="s">
        <v>20</v>
      </c>
      <c r="D359" t="s">
        <v>26</v>
      </c>
      <c r="E359" t="s">
        <v>29</v>
      </c>
      <c r="F359">
        <v>390</v>
      </c>
      <c r="G359">
        <v>360</v>
      </c>
      <c r="H359">
        <v>140400</v>
      </c>
      <c r="I359">
        <v>15866</v>
      </c>
    </row>
    <row r="360" spans="1:9">
      <c r="A360" s="2">
        <v>45261</v>
      </c>
      <c r="B360">
        <v>2023</v>
      </c>
      <c r="C360" t="s">
        <v>20</v>
      </c>
      <c r="D360" t="s">
        <v>26</v>
      </c>
      <c r="E360" t="s">
        <v>30</v>
      </c>
      <c r="F360">
        <v>159</v>
      </c>
      <c r="G360">
        <v>391</v>
      </c>
      <c r="H360">
        <v>62169</v>
      </c>
      <c r="I360">
        <v>13045</v>
      </c>
    </row>
    <row r="361" spans="1:9">
      <c r="A361" s="2">
        <v>45261</v>
      </c>
      <c r="B361">
        <v>2023</v>
      </c>
      <c r="C361" t="s">
        <v>20</v>
      </c>
      <c r="D361" t="s">
        <v>26</v>
      </c>
      <c r="E361" t="s">
        <v>31</v>
      </c>
      <c r="F361">
        <v>228</v>
      </c>
      <c r="G361">
        <v>381</v>
      </c>
      <c r="H361">
        <v>86868</v>
      </c>
      <c r="I361">
        <v>18122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45292</v>
      </c>
      <c r="B2">
        <v>2024</v>
      </c>
      <c r="C2" t="s">
        <v>9</v>
      </c>
      <c r="D2" t="s">
        <v>21</v>
      </c>
      <c r="E2" t="s">
        <v>27</v>
      </c>
      <c r="F2">
        <v>323</v>
      </c>
      <c r="G2">
        <v>1154</v>
      </c>
      <c r="H2">
        <v>372742</v>
      </c>
      <c r="I2">
        <v>64638</v>
      </c>
    </row>
    <row r="3" spans="1:9">
      <c r="A3" s="2">
        <v>45292</v>
      </c>
      <c r="B3">
        <v>2024</v>
      </c>
      <c r="C3" t="s">
        <v>9</v>
      </c>
      <c r="D3" t="s">
        <v>21</v>
      </c>
      <c r="E3" t="s">
        <v>28</v>
      </c>
      <c r="F3">
        <v>257</v>
      </c>
      <c r="G3">
        <v>1287</v>
      </c>
      <c r="H3">
        <v>330759</v>
      </c>
      <c r="I3">
        <v>35635</v>
      </c>
    </row>
    <row r="4" spans="1:9">
      <c r="A4" s="2">
        <v>45292</v>
      </c>
      <c r="B4">
        <v>2024</v>
      </c>
      <c r="C4" t="s">
        <v>9</v>
      </c>
      <c r="D4" t="s">
        <v>21</v>
      </c>
      <c r="E4" t="s">
        <v>29</v>
      </c>
      <c r="F4">
        <v>121</v>
      </c>
      <c r="G4">
        <v>1091</v>
      </c>
      <c r="H4">
        <v>132011</v>
      </c>
      <c r="I4">
        <v>27172</v>
      </c>
    </row>
    <row r="5" spans="1:9">
      <c r="A5" s="2">
        <v>45292</v>
      </c>
      <c r="B5">
        <v>2024</v>
      </c>
      <c r="C5" t="s">
        <v>9</v>
      </c>
      <c r="D5" t="s">
        <v>21</v>
      </c>
      <c r="E5" t="s">
        <v>30</v>
      </c>
      <c r="F5">
        <v>322</v>
      </c>
      <c r="G5">
        <v>1379</v>
      </c>
      <c r="H5">
        <v>444038</v>
      </c>
      <c r="I5">
        <v>81423</v>
      </c>
    </row>
    <row r="6" spans="1:9">
      <c r="A6" s="2">
        <v>45292</v>
      </c>
      <c r="B6">
        <v>2024</v>
      </c>
      <c r="C6" t="s">
        <v>9</v>
      </c>
      <c r="D6" t="s">
        <v>21</v>
      </c>
      <c r="E6" t="s">
        <v>31</v>
      </c>
      <c r="F6">
        <v>191</v>
      </c>
      <c r="G6">
        <v>1354</v>
      </c>
      <c r="H6">
        <v>258614</v>
      </c>
      <c r="I6">
        <v>27178</v>
      </c>
    </row>
    <row r="7" spans="1:9">
      <c r="A7" s="2">
        <v>45292</v>
      </c>
      <c r="B7">
        <v>2024</v>
      </c>
      <c r="C7" t="s">
        <v>9</v>
      </c>
      <c r="D7" t="s">
        <v>22</v>
      </c>
      <c r="E7" t="s">
        <v>27</v>
      </c>
      <c r="F7">
        <v>227</v>
      </c>
      <c r="G7">
        <v>866</v>
      </c>
      <c r="H7">
        <v>196582</v>
      </c>
      <c r="I7">
        <v>25337</v>
      </c>
    </row>
    <row r="8" spans="1:9">
      <c r="A8" s="2">
        <v>45292</v>
      </c>
      <c r="B8">
        <v>2024</v>
      </c>
      <c r="C8" t="s">
        <v>9</v>
      </c>
      <c r="D8" t="s">
        <v>22</v>
      </c>
      <c r="E8" t="s">
        <v>28</v>
      </c>
      <c r="F8">
        <v>457</v>
      </c>
      <c r="G8">
        <v>908</v>
      </c>
      <c r="H8">
        <v>414956</v>
      </c>
      <c r="I8">
        <v>71012</v>
      </c>
    </row>
    <row r="9" spans="1:9">
      <c r="A9" s="2">
        <v>45292</v>
      </c>
      <c r="B9">
        <v>2024</v>
      </c>
      <c r="C9" t="s">
        <v>9</v>
      </c>
      <c r="D9" t="s">
        <v>22</v>
      </c>
      <c r="E9" t="s">
        <v>29</v>
      </c>
      <c r="F9">
        <v>211</v>
      </c>
      <c r="G9">
        <v>727</v>
      </c>
      <c r="H9">
        <v>153397</v>
      </c>
      <c r="I9">
        <v>29059</v>
      </c>
    </row>
    <row r="10" spans="1:9">
      <c r="A10" s="2">
        <v>45292</v>
      </c>
      <c r="B10">
        <v>2024</v>
      </c>
      <c r="C10" t="s">
        <v>9</v>
      </c>
      <c r="D10" t="s">
        <v>22</v>
      </c>
      <c r="E10" t="s">
        <v>30</v>
      </c>
      <c r="F10">
        <v>216</v>
      </c>
      <c r="G10">
        <v>744</v>
      </c>
      <c r="H10">
        <v>160704</v>
      </c>
      <c r="I10">
        <v>17925</v>
      </c>
    </row>
    <row r="11" spans="1:9">
      <c r="A11" s="2">
        <v>45292</v>
      </c>
      <c r="B11">
        <v>2024</v>
      </c>
      <c r="C11" t="s">
        <v>9</v>
      </c>
      <c r="D11" t="s">
        <v>22</v>
      </c>
      <c r="E11" t="s">
        <v>31</v>
      </c>
      <c r="F11">
        <v>431</v>
      </c>
      <c r="G11">
        <v>826</v>
      </c>
      <c r="H11">
        <v>356006</v>
      </c>
      <c r="I11">
        <v>59152</v>
      </c>
    </row>
    <row r="12" spans="1:9">
      <c r="A12" s="2">
        <v>45292</v>
      </c>
      <c r="B12">
        <v>2024</v>
      </c>
      <c r="C12" t="s">
        <v>9</v>
      </c>
      <c r="D12" t="s">
        <v>23</v>
      </c>
      <c r="E12" t="s">
        <v>27</v>
      </c>
      <c r="F12">
        <v>136</v>
      </c>
      <c r="G12">
        <v>117</v>
      </c>
      <c r="H12">
        <v>15912</v>
      </c>
      <c r="I12">
        <v>2878</v>
      </c>
    </row>
    <row r="13" spans="1:9">
      <c r="A13" s="2">
        <v>45292</v>
      </c>
      <c r="B13">
        <v>2024</v>
      </c>
      <c r="C13" t="s">
        <v>9</v>
      </c>
      <c r="D13" t="s">
        <v>23</v>
      </c>
      <c r="E13" t="s">
        <v>28</v>
      </c>
      <c r="F13">
        <v>335</v>
      </c>
      <c r="G13">
        <v>123</v>
      </c>
      <c r="H13">
        <v>41205</v>
      </c>
      <c r="I13">
        <v>6758</v>
      </c>
    </row>
    <row r="14" spans="1:9">
      <c r="A14" s="2">
        <v>45292</v>
      </c>
      <c r="B14">
        <v>2024</v>
      </c>
      <c r="C14" t="s">
        <v>9</v>
      </c>
      <c r="D14" t="s">
        <v>23</v>
      </c>
      <c r="E14" t="s">
        <v>29</v>
      </c>
      <c r="F14">
        <v>216</v>
      </c>
      <c r="G14">
        <v>114</v>
      </c>
      <c r="H14">
        <v>24624</v>
      </c>
      <c r="I14">
        <v>2552</v>
      </c>
    </row>
    <row r="15" spans="1:9">
      <c r="A15" s="2">
        <v>45292</v>
      </c>
      <c r="B15">
        <v>2024</v>
      </c>
      <c r="C15" t="s">
        <v>9</v>
      </c>
      <c r="D15" t="s">
        <v>23</v>
      </c>
      <c r="E15" t="s">
        <v>30</v>
      </c>
      <c r="F15">
        <v>288</v>
      </c>
      <c r="G15">
        <v>137</v>
      </c>
      <c r="H15">
        <v>39456</v>
      </c>
      <c r="I15">
        <v>3947</v>
      </c>
    </row>
    <row r="16" spans="1:9">
      <c r="A16" s="2">
        <v>45292</v>
      </c>
      <c r="B16">
        <v>2024</v>
      </c>
      <c r="C16" t="s">
        <v>9</v>
      </c>
      <c r="D16" t="s">
        <v>23</v>
      </c>
      <c r="E16" t="s">
        <v>31</v>
      </c>
      <c r="F16">
        <v>403</v>
      </c>
      <c r="G16">
        <v>123</v>
      </c>
      <c r="H16">
        <v>49569</v>
      </c>
      <c r="I16">
        <v>11939</v>
      </c>
    </row>
    <row r="17" spans="1:9">
      <c r="A17" s="2">
        <v>45292</v>
      </c>
      <c r="B17">
        <v>2024</v>
      </c>
      <c r="C17" t="s">
        <v>9</v>
      </c>
      <c r="D17" t="s">
        <v>24</v>
      </c>
      <c r="E17" t="s">
        <v>27</v>
      </c>
      <c r="F17">
        <v>355</v>
      </c>
      <c r="G17">
        <v>550</v>
      </c>
      <c r="H17">
        <v>195250</v>
      </c>
      <c r="I17">
        <v>19802</v>
      </c>
    </row>
    <row r="18" spans="1:9">
      <c r="A18" s="2">
        <v>45292</v>
      </c>
      <c r="B18">
        <v>2024</v>
      </c>
      <c r="C18" t="s">
        <v>9</v>
      </c>
      <c r="D18" t="s">
        <v>24</v>
      </c>
      <c r="E18" t="s">
        <v>28</v>
      </c>
      <c r="F18">
        <v>125</v>
      </c>
      <c r="G18">
        <v>655</v>
      </c>
      <c r="H18">
        <v>81875</v>
      </c>
      <c r="I18">
        <v>13123</v>
      </c>
    </row>
    <row r="19" spans="1:9">
      <c r="A19" s="2">
        <v>45292</v>
      </c>
      <c r="B19">
        <v>2024</v>
      </c>
      <c r="C19" t="s">
        <v>9</v>
      </c>
      <c r="D19" t="s">
        <v>24</v>
      </c>
      <c r="E19" t="s">
        <v>29</v>
      </c>
      <c r="F19">
        <v>375</v>
      </c>
      <c r="G19">
        <v>611</v>
      </c>
      <c r="H19">
        <v>229125</v>
      </c>
      <c r="I19">
        <v>42872</v>
      </c>
    </row>
    <row r="20" spans="1:9">
      <c r="A20" s="2">
        <v>45292</v>
      </c>
      <c r="B20">
        <v>2024</v>
      </c>
      <c r="C20" t="s">
        <v>9</v>
      </c>
      <c r="D20" t="s">
        <v>24</v>
      </c>
      <c r="E20" t="s">
        <v>30</v>
      </c>
      <c r="F20">
        <v>365</v>
      </c>
      <c r="G20">
        <v>687</v>
      </c>
      <c r="H20">
        <v>250755</v>
      </c>
      <c r="I20">
        <v>53972</v>
      </c>
    </row>
    <row r="21" spans="1:9">
      <c r="A21" s="2">
        <v>45292</v>
      </c>
      <c r="B21">
        <v>2024</v>
      </c>
      <c r="C21" t="s">
        <v>9</v>
      </c>
      <c r="D21" t="s">
        <v>24</v>
      </c>
      <c r="E21" t="s">
        <v>31</v>
      </c>
      <c r="F21">
        <v>167</v>
      </c>
      <c r="G21">
        <v>575</v>
      </c>
      <c r="H21">
        <v>96025</v>
      </c>
      <c r="I21">
        <v>11193</v>
      </c>
    </row>
    <row r="22" spans="1:9">
      <c r="A22" s="2">
        <v>45292</v>
      </c>
      <c r="B22">
        <v>2024</v>
      </c>
      <c r="C22" t="s">
        <v>9</v>
      </c>
      <c r="D22" t="s">
        <v>25</v>
      </c>
      <c r="E22" t="s">
        <v>27</v>
      </c>
      <c r="F22">
        <v>256</v>
      </c>
      <c r="G22">
        <v>243</v>
      </c>
      <c r="H22">
        <v>62208</v>
      </c>
      <c r="I22">
        <v>14178</v>
      </c>
    </row>
    <row r="23" spans="1:9">
      <c r="A23" s="2">
        <v>45292</v>
      </c>
      <c r="B23">
        <v>2024</v>
      </c>
      <c r="C23" t="s">
        <v>9</v>
      </c>
      <c r="D23" t="s">
        <v>25</v>
      </c>
      <c r="E23" t="s">
        <v>28</v>
      </c>
      <c r="F23">
        <v>261</v>
      </c>
      <c r="G23">
        <v>239</v>
      </c>
      <c r="H23">
        <v>62379</v>
      </c>
      <c r="I23">
        <v>6631</v>
      </c>
    </row>
    <row r="24" spans="1:9">
      <c r="A24" s="2">
        <v>45292</v>
      </c>
      <c r="B24">
        <v>2024</v>
      </c>
      <c r="C24" t="s">
        <v>9</v>
      </c>
      <c r="D24" t="s">
        <v>25</v>
      </c>
      <c r="E24" t="s">
        <v>29</v>
      </c>
      <c r="F24">
        <v>315</v>
      </c>
      <c r="G24">
        <v>281</v>
      </c>
      <c r="H24">
        <v>88515</v>
      </c>
      <c r="I24">
        <v>9450</v>
      </c>
    </row>
    <row r="25" spans="1:9">
      <c r="A25" s="2">
        <v>45292</v>
      </c>
      <c r="B25">
        <v>2024</v>
      </c>
      <c r="C25" t="s">
        <v>9</v>
      </c>
      <c r="D25" t="s">
        <v>25</v>
      </c>
      <c r="E25" t="s">
        <v>30</v>
      </c>
      <c r="F25">
        <v>445</v>
      </c>
      <c r="G25">
        <v>249</v>
      </c>
      <c r="H25">
        <v>110805</v>
      </c>
      <c r="I25">
        <v>13148</v>
      </c>
    </row>
    <row r="26" spans="1:9">
      <c r="A26" s="2">
        <v>45292</v>
      </c>
      <c r="B26">
        <v>2024</v>
      </c>
      <c r="C26" t="s">
        <v>9</v>
      </c>
      <c r="D26" t="s">
        <v>25</v>
      </c>
      <c r="E26" t="s">
        <v>31</v>
      </c>
      <c r="F26">
        <v>308</v>
      </c>
      <c r="G26">
        <v>284</v>
      </c>
      <c r="H26">
        <v>87472</v>
      </c>
      <c r="I26">
        <v>19064</v>
      </c>
    </row>
    <row r="27" spans="1:9">
      <c r="A27" s="2">
        <v>45292</v>
      </c>
      <c r="B27">
        <v>2024</v>
      </c>
      <c r="C27" t="s">
        <v>9</v>
      </c>
      <c r="D27" t="s">
        <v>26</v>
      </c>
      <c r="E27" t="s">
        <v>27</v>
      </c>
      <c r="F27">
        <v>321</v>
      </c>
      <c r="G27">
        <v>400</v>
      </c>
      <c r="H27">
        <v>128400</v>
      </c>
      <c r="I27">
        <v>29869</v>
      </c>
    </row>
    <row r="28" spans="1:9">
      <c r="A28" s="2">
        <v>45292</v>
      </c>
      <c r="B28">
        <v>2024</v>
      </c>
      <c r="C28" t="s">
        <v>9</v>
      </c>
      <c r="D28" t="s">
        <v>26</v>
      </c>
      <c r="E28" t="s">
        <v>28</v>
      </c>
      <c r="F28">
        <v>104</v>
      </c>
      <c r="G28">
        <v>394</v>
      </c>
      <c r="H28">
        <v>40976</v>
      </c>
      <c r="I28">
        <v>10177</v>
      </c>
    </row>
    <row r="29" spans="1:9">
      <c r="A29" s="2">
        <v>45292</v>
      </c>
      <c r="B29">
        <v>2024</v>
      </c>
      <c r="C29" t="s">
        <v>9</v>
      </c>
      <c r="D29" t="s">
        <v>26</v>
      </c>
      <c r="E29" t="s">
        <v>29</v>
      </c>
      <c r="F29">
        <v>322</v>
      </c>
      <c r="G29">
        <v>401</v>
      </c>
      <c r="H29">
        <v>129122</v>
      </c>
      <c r="I29">
        <v>17399</v>
      </c>
    </row>
    <row r="30" spans="1:9">
      <c r="A30" s="2">
        <v>45292</v>
      </c>
      <c r="B30">
        <v>2024</v>
      </c>
      <c r="C30" t="s">
        <v>9</v>
      </c>
      <c r="D30" t="s">
        <v>26</v>
      </c>
      <c r="E30" t="s">
        <v>30</v>
      </c>
      <c r="F30">
        <v>263</v>
      </c>
      <c r="G30">
        <v>388</v>
      </c>
      <c r="H30">
        <v>102044</v>
      </c>
      <c r="I30">
        <v>13733</v>
      </c>
    </row>
    <row r="31" spans="1:9">
      <c r="A31" s="2">
        <v>45292</v>
      </c>
      <c r="B31">
        <v>2024</v>
      </c>
      <c r="C31" t="s">
        <v>9</v>
      </c>
      <c r="D31" t="s">
        <v>26</v>
      </c>
      <c r="E31" t="s">
        <v>31</v>
      </c>
      <c r="F31">
        <v>373</v>
      </c>
      <c r="G31">
        <v>359</v>
      </c>
      <c r="H31">
        <v>133907</v>
      </c>
      <c r="I31">
        <v>18023</v>
      </c>
    </row>
    <row r="32" spans="1:9">
      <c r="A32" s="2">
        <v>45323</v>
      </c>
      <c r="B32">
        <v>2024</v>
      </c>
      <c r="C32" t="s">
        <v>10</v>
      </c>
      <c r="D32" t="s">
        <v>21</v>
      </c>
      <c r="E32" t="s">
        <v>27</v>
      </c>
      <c r="F32">
        <v>360</v>
      </c>
      <c r="G32">
        <v>1195</v>
      </c>
      <c r="H32">
        <v>430200</v>
      </c>
      <c r="I32">
        <v>45390</v>
      </c>
    </row>
    <row r="33" spans="1:9">
      <c r="A33" s="2">
        <v>45323</v>
      </c>
      <c r="B33">
        <v>2024</v>
      </c>
      <c r="C33" t="s">
        <v>10</v>
      </c>
      <c r="D33" t="s">
        <v>21</v>
      </c>
      <c r="E33" t="s">
        <v>28</v>
      </c>
      <c r="F33">
        <v>399</v>
      </c>
      <c r="G33">
        <v>1327</v>
      </c>
      <c r="H33">
        <v>529473</v>
      </c>
      <c r="I33">
        <v>116545</v>
      </c>
    </row>
    <row r="34" spans="1:9">
      <c r="A34" s="2">
        <v>45323</v>
      </c>
      <c r="B34">
        <v>2024</v>
      </c>
      <c r="C34" t="s">
        <v>10</v>
      </c>
      <c r="D34" t="s">
        <v>21</v>
      </c>
      <c r="E34" t="s">
        <v>29</v>
      </c>
      <c r="F34">
        <v>157</v>
      </c>
      <c r="G34">
        <v>1370</v>
      </c>
      <c r="H34">
        <v>215090</v>
      </c>
      <c r="I34">
        <v>50023</v>
      </c>
    </row>
    <row r="35" spans="1:9">
      <c r="A35" s="2">
        <v>45323</v>
      </c>
      <c r="B35">
        <v>2024</v>
      </c>
      <c r="C35" t="s">
        <v>10</v>
      </c>
      <c r="D35" t="s">
        <v>21</v>
      </c>
      <c r="E35" t="s">
        <v>30</v>
      </c>
      <c r="F35">
        <v>210</v>
      </c>
      <c r="G35">
        <v>1259</v>
      </c>
      <c r="H35">
        <v>264390</v>
      </c>
      <c r="I35">
        <v>47260</v>
      </c>
    </row>
    <row r="36" spans="1:9">
      <c r="A36" s="2">
        <v>45323</v>
      </c>
      <c r="B36">
        <v>2024</v>
      </c>
      <c r="C36" t="s">
        <v>10</v>
      </c>
      <c r="D36" t="s">
        <v>21</v>
      </c>
      <c r="E36" t="s">
        <v>31</v>
      </c>
      <c r="F36">
        <v>303</v>
      </c>
      <c r="G36">
        <v>1227</v>
      </c>
      <c r="H36">
        <v>371781</v>
      </c>
      <c r="I36">
        <v>92740</v>
      </c>
    </row>
    <row r="37" spans="1:9">
      <c r="A37" s="2">
        <v>45323</v>
      </c>
      <c r="B37">
        <v>2024</v>
      </c>
      <c r="C37" t="s">
        <v>10</v>
      </c>
      <c r="D37" t="s">
        <v>22</v>
      </c>
      <c r="E37" t="s">
        <v>27</v>
      </c>
      <c r="F37">
        <v>96</v>
      </c>
      <c r="G37">
        <v>883</v>
      </c>
      <c r="H37">
        <v>84768</v>
      </c>
      <c r="I37">
        <v>11330</v>
      </c>
    </row>
    <row r="38" spans="1:9">
      <c r="A38" s="2">
        <v>45323</v>
      </c>
      <c r="B38">
        <v>2024</v>
      </c>
      <c r="C38" t="s">
        <v>10</v>
      </c>
      <c r="D38" t="s">
        <v>22</v>
      </c>
      <c r="E38" t="s">
        <v>28</v>
      </c>
      <c r="F38">
        <v>234</v>
      </c>
      <c r="G38">
        <v>869</v>
      </c>
      <c r="H38">
        <v>203346</v>
      </c>
      <c r="I38">
        <v>21398</v>
      </c>
    </row>
    <row r="39" spans="1:9">
      <c r="A39" s="2">
        <v>45323</v>
      </c>
      <c r="B39">
        <v>2024</v>
      </c>
      <c r="C39" t="s">
        <v>10</v>
      </c>
      <c r="D39" t="s">
        <v>22</v>
      </c>
      <c r="E39" t="s">
        <v>29</v>
      </c>
      <c r="F39">
        <v>173</v>
      </c>
      <c r="G39">
        <v>836</v>
      </c>
      <c r="H39">
        <v>144628</v>
      </c>
      <c r="I39">
        <v>16447</v>
      </c>
    </row>
    <row r="40" spans="1:9">
      <c r="A40" s="2">
        <v>45323</v>
      </c>
      <c r="B40">
        <v>2024</v>
      </c>
      <c r="C40" t="s">
        <v>10</v>
      </c>
      <c r="D40" t="s">
        <v>22</v>
      </c>
      <c r="E40" t="s">
        <v>30</v>
      </c>
      <c r="F40">
        <v>217</v>
      </c>
      <c r="G40">
        <v>798</v>
      </c>
      <c r="H40">
        <v>173166</v>
      </c>
      <c r="I40">
        <v>24406</v>
      </c>
    </row>
    <row r="41" spans="1:9">
      <c r="A41" s="2">
        <v>45323</v>
      </c>
      <c r="B41">
        <v>2024</v>
      </c>
      <c r="C41" t="s">
        <v>10</v>
      </c>
      <c r="D41" t="s">
        <v>22</v>
      </c>
      <c r="E41" t="s">
        <v>31</v>
      </c>
      <c r="F41">
        <v>127</v>
      </c>
      <c r="G41">
        <v>897</v>
      </c>
      <c r="H41">
        <v>113919</v>
      </c>
      <c r="I41">
        <v>27721</v>
      </c>
    </row>
    <row r="42" spans="1:9">
      <c r="A42" s="2">
        <v>45323</v>
      </c>
      <c r="B42">
        <v>2024</v>
      </c>
      <c r="C42" t="s">
        <v>10</v>
      </c>
      <c r="D42" t="s">
        <v>23</v>
      </c>
      <c r="E42" t="s">
        <v>27</v>
      </c>
      <c r="F42">
        <v>294</v>
      </c>
      <c r="G42">
        <v>132</v>
      </c>
      <c r="H42">
        <v>38808</v>
      </c>
      <c r="I42">
        <v>7695</v>
      </c>
    </row>
    <row r="43" spans="1:9">
      <c r="A43" s="2">
        <v>45323</v>
      </c>
      <c r="B43">
        <v>2024</v>
      </c>
      <c r="C43" t="s">
        <v>10</v>
      </c>
      <c r="D43" t="s">
        <v>23</v>
      </c>
      <c r="E43" t="s">
        <v>28</v>
      </c>
      <c r="F43">
        <v>401</v>
      </c>
      <c r="G43">
        <v>130</v>
      </c>
      <c r="H43">
        <v>52130</v>
      </c>
      <c r="I43">
        <v>7413</v>
      </c>
    </row>
    <row r="44" spans="1:9">
      <c r="A44" s="2">
        <v>45323</v>
      </c>
      <c r="B44">
        <v>2024</v>
      </c>
      <c r="C44" t="s">
        <v>10</v>
      </c>
      <c r="D44" t="s">
        <v>23</v>
      </c>
      <c r="E44" t="s">
        <v>29</v>
      </c>
      <c r="F44">
        <v>239</v>
      </c>
      <c r="G44">
        <v>119</v>
      </c>
      <c r="H44">
        <v>28441</v>
      </c>
      <c r="I44">
        <v>3952</v>
      </c>
    </row>
    <row r="45" spans="1:9">
      <c r="A45" s="2">
        <v>45323</v>
      </c>
      <c r="B45">
        <v>2024</v>
      </c>
      <c r="C45" t="s">
        <v>10</v>
      </c>
      <c r="D45" t="s">
        <v>23</v>
      </c>
      <c r="E45" t="s">
        <v>30</v>
      </c>
      <c r="F45">
        <v>301</v>
      </c>
      <c r="G45">
        <v>122</v>
      </c>
      <c r="H45">
        <v>36722</v>
      </c>
      <c r="I45">
        <v>4118</v>
      </c>
    </row>
    <row r="46" spans="1:9">
      <c r="A46" s="2">
        <v>45323</v>
      </c>
      <c r="B46">
        <v>2024</v>
      </c>
      <c r="C46" t="s">
        <v>10</v>
      </c>
      <c r="D46" t="s">
        <v>23</v>
      </c>
      <c r="E46" t="s">
        <v>31</v>
      </c>
      <c r="F46">
        <v>466</v>
      </c>
      <c r="G46">
        <v>111</v>
      </c>
      <c r="H46">
        <v>51726</v>
      </c>
      <c r="I46">
        <v>12112</v>
      </c>
    </row>
    <row r="47" spans="1:9">
      <c r="A47" s="2">
        <v>45323</v>
      </c>
      <c r="B47">
        <v>2024</v>
      </c>
      <c r="C47" t="s">
        <v>10</v>
      </c>
      <c r="D47" t="s">
        <v>24</v>
      </c>
      <c r="E47" t="s">
        <v>27</v>
      </c>
      <c r="F47">
        <v>188</v>
      </c>
      <c r="G47">
        <v>549</v>
      </c>
      <c r="H47">
        <v>103212</v>
      </c>
      <c r="I47">
        <v>23990</v>
      </c>
    </row>
    <row r="48" spans="1:9">
      <c r="A48" s="2">
        <v>45323</v>
      </c>
      <c r="B48">
        <v>2024</v>
      </c>
      <c r="C48" t="s">
        <v>10</v>
      </c>
      <c r="D48" t="s">
        <v>24</v>
      </c>
      <c r="E48" t="s">
        <v>28</v>
      </c>
      <c r="F48">
        <v>468</v>
      </c>
      <c r="G48">
        <v>628</v>
      </c>
      <c r="H48">
        <v>293904</v>
      </c>
      <c r="I48">
        <v>65746</v>
      </c>
    </row>
    <row r="49" spans="1:9">
      <c r="A49" s="2">
        <v>45323</v>
      </c>
      <c r="B49">
        <v>2024</v>
      </c>
      <c r="C49" t="s">
        <v>10</v>
      </c>
      <c r="D49" t="s">
        <v>24</v>
      </c>
      <c r="E49" t="s">
        <v>29</v>
      </c>
      <c r="F49">
        <v>159</v>
      </c>
      <c r="G49">
        <v>639</v>
      </c>
      <c r="H49">
        <v>101601</v>
      </c>
      <c r="I49">
        <v>18447</v>
      </c>
    </row>
    <row r="50" spans="1:9">
      <c r="A50" s="2">
        <v>45323</v>
      </c>
      <c r="B50">
        <v>2024</v>
      </c>
      <c r="C50" t="s">
        <v>10</v>
      </c>
      <c r="D50" t="s">
        <v>24</v>
      </c>
      <c r="E50" t="s">
        <v>30</v>
      </c>
      <c r="F50">
        <v>373</v>
      </c>
      <c r="G50">
        <v>650</v>
      </c>
      <c r="H50">
        <v>242450</v>
      </c>
      <c r="I50">
        <v>43201</v>
      </c>
    </row>
    <row r="51" spans="1:9">
      <c r="A51" s="2">
        <v>45323</v>
      </c>
      <c r="B51">
        <v>2024</v>
      </c>
      <c r="C51" t="s">
        <v>10</v>
      </c>
      <c r="D51" t="s">
        <v>24</v>
      </c>
      <c r="E51" t="s">
        <v>31</v>
      </c>
      <c r="F51">
        <v>291</v>
      </c>
      <c r="G51">
        <v>576</v>
      </c>
      <c r="H51">
        <v>167616</v>
      </c>
      <c r="I51">
        <v>20717</v>
      </c>
    </row>
    <row r="52" spans="1:9">
      <c r="A52" s="2">
        <v>45323</v>
      </c>
      <c r="B52">
        <v>2024</v>
      </c>
      <c r="C52" t="s">
        <v>10</v>
      </c>
      <c r="D52" t="s">
        <v>25</v>
      </c>
      <c r="E52" t="s">
        <v>27</v>
      </c>
      <c r="F52">
        <v>452</v>
      </c>
      <c r="G52">
        <v>269</v>
      </c>
      <c r="H52">
        <v>121588</v>
      </c>
      <c r="I52">
        <v>27424</v>
      </c>
    </row>
    <row r="53" spans="1:9">
      <c r="A53" s="2">
        <v>45323</v>
      </c>
      <c r="B53">
        <v>2024</v>
      </c>
      <c r="C53" t="s">
        <v>10</v>
      </c>
      <c r="D53" t="s">
        <v>25</v>
      </c>
      <c r="E53" t="s">
        <v>28</v>
      </c>
      <c r="F53">
        <v>307</v>
      </c>
      <c r="G53">
        <v>267</v>
      </c>
      <c r="H53">
        <v>81969</v>
      </c>
      <c r="I53">
        <v>15802</v>
      </c>
    </row>
    <row r="54" spans="1:9">
      <c r="A54" s="2">
        <v>45323</v>
      </c>
      <c r="B54">
        <v>2024</v>
      </c>
      <c r="C54" t="s">
        <v>10</v>
      </c>
      <c r="D54" t="s">
        <v>25</v>
      </c>
      <c r="E54" t="s">
        <v>29</v>
      </c>
      <c r="F54">
        <v>315</v>
      </c>
      <c r="G54">
        <v>234</v>
      </c>
      <c r="H54">
        <v>73710</v>
      </c>
      <c r="I54">
        <v>17110</v>
      </c>
    </row>
    <row r="55" spans="1:9">
      <c r="A55" s="2">
        <v>45323</v>
      </c>
      <c r="B55">
        <v>2024</v>
      </c>
      <c r="C55" t="s">
        <v>10</v>
      </c>
      <c r="D55" t="s">
        <v>25</v>
      </c>
      <c r="E55" t="s">
        <v>30</v>
      </c>
      <c r="F55">
        <v>464</v>
      </c>
      <c r="G55">
        <v>254</v>
      </c>
      <c r="H55">
        <v>117856</v>
      </c>
      <c r="I55">
        <v>27326</v>
      </c>
    </row>
    <row r="56" spans="1:9">
      <c r="A56" s="2">
        <v>45323</v>
      </c>
      <c r="B56">
        <v>2024</v>
      </c>
      <c r="C56" t="s">
        <v>10</v>
      </c>
      <c r="D56" t="s">
        <v>25</v>
      </c>
      <c r="E56" t="s">
        <v>31</v>
      </c>
      <c r="F56">
        <v>282</v>
      </c>
      <c r="G56">
        <v>245</v>
      </c>
      <c r="H56">
        <v>69090</v>
      </c>
      <c r="I56">
        <v>14614</v>
      </c>
    </row>
    <row r="57" spans="1:9">
      <c r="A57" s="2">
        <v>45323</v>
      </c>
      <c r="B57">
        <v>2024</v>
      </c>
      <c r="C57" t="s">
        <v>10</v>
      </c>
      <c r="D57" t="s">
        <v>26</v>
      </c>
      <c r="E57" t="s">
        <v>27</v>
      </c>
      <c r="F57">
        <v>190</v>
      </c>
      <c r="G57">
        <v>386</v>
      </c>
      <c r="H57">
        <v>73340</v>
      </c>
      <c r="I57">
        <v>16488</v>
      </c>
    </row>
    <row r="58" spans="1:9">
      <c r="A58" s="2">
        <v>45323</v>
      </c>
      <c r="B58">
        <v>2024</v>
      </c>
      <c r="C58" t="s">
        <v>10</v>
      </c>
      <c r="D58" t="s">
        <v>26</v>
      </c>
      <c r="E58" t="s">
        <v>28</v>
      </c>
      <c r="F58">
        <v>107</v>
      </c>
      <c r="G58">
        <v>315</v>
      </c>
      <c r="H58">
        <v>33705</v>
      </c>
      <c r="I58">
        <v>4821</v>
      </c>
    </row>
    <row r="59" spans="1:9">
      <c r="A59" s="2">
        <v>45323</v>
      </c>
      <c r="B59">
        <v>2024</v>
      </c>
      <c r="C59" t="s">
        <v>10</v>
      </c>
      <c r="D59" t="s">
        <v>26</v>
      </c>
      <c r="E59" t="s">
        <v>29</v>
      </c>
      <c r="F59">
        <v>147</v>
      </c>
      <c r="G59">
        <v>343</v>
      </c>
      <c r="H59">
        <v>50421</v>
      </c>
      <c r="I59">
        <v>9276</v>
      </c>
    </row>
    <row r="60" spans="1:9">
      <c r="A60" s="2">
        <v>45323</v>
      </c>
      <c r="B60">
        <v>2024</v>
      </c>
      <c r="C60" t="s">
        <v>10</v>
      </c>
      <c r="D60" t="s">
        <v>26</v>
      </c>
      <c r="E60" t="s">
        <v>30</v>
      </c>
      <c r="F60">
        <v>356</v>
      </c>
      <c r="G60">
        <v>347</v>
      </c>
      <c r="H60">
        <v>123532</v>
      </c>
      <c r="I60">
        <v>12521</v>
      </c>
    </row>
    <row r="61" spans="1:9">
      <c r="A61" s="2">
        <v>45323</v>
      </c>
      <c r="B61">
        <v>2024</v>
      </c>
      <c r="C61" t="s">
        <v>10</v>
      </c>
      <c r="D61" t="s">
        <v>26</v>
      </c>
      <c r="E61" t="s">
        <v>31</v>
      </c>
      <c r="F61">
        <v>285</v>
      </c>
      <c r="G61">
        <v>326</v>
      </c>
      <c r="H61">
        <v>92910</v>
      </c>
      <c r="I61">
        <v>13239</v>
      </c>
    </row>
    <row r="62" spans="1:9">
      <c r="A62" s="2">
        <v>45352</v>
      </c>
      <c r="B62">
        <v>2024</v>
      </c>
      <c r="C62" t="s">
        <v>11</v>
      </c>
      <c r="D62" t="s">
        <v>21</v>
      </c>
      <c r="E62" t="s">
        <v>27</v>
      </c>
      <c r="F62">
        <v>181</v>
      </c>
      <c r="G62">
        <v>1209</v>
      </c>
      <c r="H62">
        <v>218829</v>
      </c>
      <c r="I62">
        <v>49459</v>
      </c>
    </row>
    <row r="63" spans="1:9">
      <c r="A63" s="2">
        <v>45352</v>
      </c>
      <c r="B63">
        <v>2024</v>
      </c>
      <c r="C63" t="s">
        <v>11</v>
      </c>
      <c r="D63" t="s">
        <v>21</v>
      </c>
      <c r="E63" t="s">
        <v>28</v>
      </c>
      <c r="F63">
        <v>165</v>
      </c>
      <c r="G63">
        <v>1133</v>
      </c>
      <c r="H63">
        <v>186945</v>
      </c>
      <c r="I63">
        <v>39829</v>
      </c>
    </row>
    <row r="64" spans="1:9">
      <c r="A64" s="2">
        <v>45352</v>
      </c>
      <c r="B64">
        <v>2024</v>
      </c>
      <c r="C64" t="s">
        <v>11</v>
      </c>
      <c r="D64" t="s">
        <v>21</v>
      </c>
      <c r="E64" t="s">
        <v>29</v>
      </c>
      <c r="F64">
        <v>424</v>
      </c>
      <c r="G64">
        <v>1361</v>
      </c>
      <c r="H64">
        <v>577064</v>
      </c>
      <c r="I64">
        <v>117249</v>
      </c>
    </row>
    <row r="65" spans="1:9">
      <c r="A65" s="2">
        <v>45352</v>
      </c>
      <c r="B65">
        <v>2024</v>
      </c>
      <c r="C65" t="s">
        <v>11</v>
      </c>
      <c r="D65" t="s">
        <v>21</v>
      </c>
      <c r="E65" t="s">
        <v>30</v>
      </c>
      <c r="F65">
        <v>381</v>
      </c>
      <c r="G65">
        <v>1364</v>
      </c>
      <c r="H65">
        <v>519684</v>
      </c>
      <c r="I65">
        <v>64937</v>
      </c>
    </row>
    <row r="66" spans="1:9">
      <c r="A66" s="2">
        <v>45352</v>
      </c>
      <c r="B66">
        <v>2024</v>
      </c>
      <c r="C66" t="s">
        <v>11</v>
      </c>
      <c r="D66" t="s">
        <v>21</v>
      </c>
      <c r="E66" t="s">
        <v>31</v>
      </c>
      <c r="F66">
        <v>108</v>
      </c>
      <c r="G66">
        <v>1100</v>
      </c>
      <c r="H66">
        <v>118800</v>
      </c>
      <c r="I66">
        <v>22254</v>
      </c>
    </row>
    <row r="67" spans="1:9">
      <c r="A67" s="2">
        <v>45352</v>
      </c>
      <c r="B67">
        <v>2024</v>
      </c>
      <c r="C67" t="s">
        <v>11</v>
      </c>
      <c r="D67" t="s">
        <v>22</v>
      </c>
      <c r="E67" t="s">
        <v>27</v>
      </c>
      <c r="F67">
        <v>323</v>
      </c>
      <c r="G67">
        <v>731</v>
      </c>
      <c r="H67">
        <v>236113</v>
      </c>
      <c r="I67">
        <v>26256</v>
      </c>
    </row>
    <row r="68" spans="1:9">
      <c r="A68" s="2">
        <v>45352</v>
      </c>
      <c r="B68">
        <v>2024</v>
      </c>
      <c r="C68" t="s">
        <v>11</v>
      </c>
      <c r="D68" t="s">
        <v>22</v>
      </c>
      <c r="E68" t="s">
        <v>28</v>
      </c>
      <c r="F68">
        <v>343</v>
      </c>
      <c r="G68">
        <v>894</v>
      </c>
      <c r="H68">
        <v>306642</v>
      </c>
      <c r="I68">
        <v>75441</v>
      </c>
    </row>
    <row r="69" spans="1:9">
      <c r="A69" s="2">
        <v>45352</v>
      </c>
      <c r="B69">
        <v>2024</v>
      </c>
      <c r="C69" t="s">
        <v>11</v>
      </c>
      <c r="D69" t="s">
        <v>22</v>
      </c>
      <c r="E69" t="s">
        <v>29</v>
      </c>
      <c r="F69">
        <v>432</v>
      </c>
      <c r="G69">
        <v>809</v>
      </c>
      <c r="H69">
        <v>349488</v>
      </c>
      <c r="I69">
        <v>68896</v>
      </c>
    </row>
    <row r="70" spans="1:9">
      <c r="A70" s="2">
        <v>45352</v>
      </c>
      <c r="B70">
        <v>2024</v>
      </c>
      <c r="C70" t="s">
        <v>11</v>
      </c>
      <c r="D70" t="s">
        <v>22</v>
      </c>
      <c r="E70" t="s">
        <v>30</v>
      </c>
      <c r="F70">
        <v>102</v>
      </c>
      <c r="G70">
        <v>733</v>
      </c>
      <c r="H70">
        <v>74766</v>
      </c>
      <c r="I70">
        <v>16689</v>
      </c>
    </row>
    <row r="71" spans="1:9">
      <c r="A71" s="2">
        <v>45352</v>
      </c>
      <c r="B71">
        <v>2024</v>
      </c>
      <c r="C71" t="s">
        <v>11</v>
      </c>
      <c r="D71" t="s">
        <v>22</v>
      </c>
      <c r="E71" t="s">
        <v>31</v>
      </c>
      <c r="F71">
        <v>187</v>
      </c>
      <c r="G71">
        <v>883</v>
      </c>
      <c r="H71">
        <v>165121</v>
      </c>
      <c r="I71">
        <v>22766</v>
      </c>
    </row>
    <row r="72" spans="1:9">
      <c r="A72" s="2">
        <v>45352</v>
      </c>
      <c r="B72">
        <v>2024</v>
      </c>
      <c r="C72" t="s">
        <v>11</v>
      </c>
      <c r="D72" t="s">
        <v>23</v>
      </c>
      <c r="E72" t="s">
        <v>27</v>
      </c>
      <c r="F72">
        <v>124</v>
      </c>
      <c r="G72">
        <v>112</v>
      </c>
      <c r="H72">
        <v>13888</v>
      </c>
      <c r="I72">
        <v>2364</v>
      </c>
    </row>
    <row r="73" spans="1:9">
      <c r="A73" s="2">
        <v>45352</v>
      </c>
      <c r="B73">
        <v>2024</v>
      </c>
      <c r="C73" t="s">
        <v>11</v>
      </c>
      <c r="D73" t="s">
        <v>23</v>
      </c>
      <c r="E73" t="s">
        <v>28</v>
      </c>
      <c r="F73">
        <v>98</v>
      </c>
      <c r="G73">
        <v>120</v>
      </c>
      <c r="H73">
        <v>11760</v>
      </c>
      <c r="I73">
        <v>1972</v>
      </c>
    </row>
    <row r="74" spans="1:9">
      <c r="A74" s="2">
        <v>45352</v>
      </c>
      <c r="B74">
        <v>2024</v>
      </c>
      <c r="C74" t="s">
        <v>11</v>
      </c>
      <c r="D74" t="s">
        <v>23</v>
      </c>
      <c r="E74" t="s">
        <v>29</v>
      </c>
      <c r="F74">
        <v>140</v>
      </c>
      <c r="G74">
        <v>123</v>
      </c>
      <c r="H74">
        <v>17220</v>
      </c>
      <c r="I74">
        <v>3855</v>
      </c>
    </row>
    <row r="75" spans="1:9">
      <c r="A75" s="2">
        <v>45352</v>
      </c>
      <c r="B75">
        <v>2024</v>
      </c>
      <c r="C75" t="s">
        <v>11</v>
      </c>
      <c r="D75" t="s">
        <v>23</v>
      </c>
      <c r="E75" t="s">
        <v>30</v>
      </c>
      <c r="F75">
        <v>183</v>
      </c>
      <c r="G75">
        <v>114</v>
      </c>
      <c r="H75">
        <v>20862</v>
      </c>
      <c r="I75">
        <v>2343</v>
      </c>
    </row>
    <row r="76" spans="1:9">
      <c r="A76" s="2">
        <v>45352</v>
      </c>
      <c r="B76">
        <v>2024</v>
      </c>
      <c r="C76" t="s">
        <v>11</v>
      </c>
      <c r="D76" t="s">
        <v>23</v>
      </c>
      <c r="E76" t="s">
        <v>31</v>
      </c>
      <c r="F76">
        <v>193</v>
      </c>
      <c r="G76">
        <v>127</v>
      </c>
      <c r="H76">
        <v>24511</v>
      </c>
      <c r="I76">
        <v>3455</v>
      </c>
    </row>
    <row r="77" spans="1:9">
      <c r="A77" s="2">
        <v>45352</v>
      </c>
      <c r="B77">
        <v>2024</v>
      </c>
      <c r="C77" t="s">
        <v>11</v>
      </c>
      <c r="D77" t="s">
        <v>24</v>
      </c>
      <c r="E77" t="s">
        <v>27</v>
      </c>
      <c r="F77">
        <v>374</v>
      </c>
      <c r="G77">
        <v>544</v>
      </c>
      <c r="H77">
        <v>203456</v>
      </c>
      <c r="I77">
        <v>42662</v>
      </c>
    </row>
    <row r="78" spans="1:9">
      <c r="A78" s="2">
        <v>45352</v>
      </c>
      <c r="B78">
        <v>2024</v>
      </c>
      <c r="C78" t="s">
        <v>11</v>
      </c>
      <c r="D78" t="s">
        <v>24</v>
      </c>
      <c r="E78" t="s">
        <v>28</v>
      </c>
      <c r="F78">
        <v>453</v>
      </c>
      <c r="G78">
        <v>602</v>
      </c>
      <c r="H78">
        <v>272706</v>
      </c>
      <c r="I78">
        <v>53390</v>
      </c>
    </row>
    <row r="79" spans="1:9">
      <c r="A79" s="2">
        <v>45352</v>
      </c>
      <c r="B79">
        <v>2024</v>
      </c>
      <c r="C79" t="s">
        <v>11</v>
      </c>
      <c r="D79" t="s">
        <v>24</v>
      </c>
      <c r="E79" t="s">
        <v>29</v>
      </c>
      <c r="F79">
        <v>405</v>
      </c>
      <c r="G79">
        <v>654</v>
      </c>
      <c r="H79">
        <v>264870</v>
      </c>
      <c r="I79">
        <v>44059</v>
      </c>
    </row>
    <row r="80" spans="1:9">
      <c r="A80" s="2">
        <v>45352</v>
      </c>
      <c r="B80">
        <v>2024</v>
      </c>
      <c r="C80" t="s">
        <v>11</v>
      </c>
      <c r="D80" t="s">
        <v>24</v>
      </c>
      <c r="E80" t="s">
        <v>30</v>
      </c>
      <c r="F80">
        <v>399</v>
      </c>
      <c r="G80">
        <v>588</v>
      </c>
      <c r="H80">
        <v>234612</v>
      </c>
      <c r="I80">
        <v>48954</v>
      </c>
    </row>
    <row r="81" spans="1:9">
      <c r="A81" s="2">
        <v>45352</v>
      </c>
      <c r="B81">
        <v>2024</v>
      </c>
      <c r="C81" t="s">
        <v>11</v>
      </c>
      <c r="D81" t="s">
        <v>24</v>
      </c>
      <c r="E81" t="s">
        <v>31</v>
      </c>
      <c r="F81">
        <v>286</v>
      </c>
      <c r="G81">
        <v>571</v>
      </c>
      <c r="H81">
        <v>163306</v>
      </c>
      <c r="I81">
        <v>17093</v>
      </c>
    </row>
    <row r="82" spans="1:9">
      <c r="A82" s="2">
        <v>45352</v>
      </c>
      <c r="B82">
        <v>2024</v>
      </c>
      <c r="C82" t="s">
        <v>11</v>
      </c>
      <c r="D82" t="s">
        <v>25</v>
      </c>
      <c r="E82" t="s">
        <v>27</v>
      </c>
      <c r="F82">
        <v>427</v>
      </c>
      <c r="G82">
        <v>269</v>
      </c>
      <c r="H82">
        <v>114863</v>
      </c>
      <c r="I82">
        <v>21182</v>
      </c>
    </row>
    <row r="83" spans="1:9">
      <c r="A83" s="2">
        <v>45352</v>
      </c>
      <c r="B83">
        <v>2024</v>
      </c>
      <c r="C83" t="s">
        <v>11</v>
      </c>
      <c r="D83" t="s">
        <v>25</v>
      </c>
      <c r="E83" t="s">
        <v>28</v>
      </c>
      <c r="F83">
        <v>341</v>
      </c>
      <c r="G83">
        <v>258</v>
      </c>
      <c r="H83">
        <v>87978</v>
      </c>
      <c r="I83">
        <v>10899</v>
      </c>
    </row>
    <row r="84" spans="1:9">
      <c r="A84" s="2">
        <v>45352</v>
      </c>
      <c r="B84">
        <v>2024</v>
      </c>
      <c r="C84" t="s">
        <v>11</v>
      </c>
      <c r="D84" t="s">
        <v>25</v>
      </c>
      <c r="E84" t="s">
        <v>29</v>
      </c>
      <c r="F84">
        <v>266</v>
      </c>
      <c r="G84">
        <v>230</v>
      </c>
      <c r="H84">
        <v>61180</v>
      </c>
      <c r="I84">
        <v>7528</v>
      </c>
    </row>
    <row r="85" spans="1:9">
      <c r="A85" s="2">
        <v>45352</v>
      </c>
      <c r="B85">
        <v>2024</v>
      </c>
      <c r="C85" t="s">
        <v>11</v>
      </c>
      <c r="D85" t="s">
        <v>25</v>
      </c>
      <c r="E85" t="s">
        <v>30</v>
      </c>
      <c r="F85">
        <v>125</v>
      </c>
      <c r="G85">
        <v>277</v>
      </c>
      <c r="H85">
        <v>34625</v>
      </c>
      <c r="I85">
        <v>7415</v>
      </c>
    </row>
    <row r="86" spans="1:9">
      <c r="A86" s="2">
        <v>45352</v>
      </c>
      <c r="B86">
        <v>2024</v>
      </c>
      <c r="C86" t="s">
        <v>11</v>
      </c>
      <c r="D86" t="s">
        <v>25</v>
      </c>
      <c r="E86" t="s">
        <v>31</v>
      </c>
      <c r="F86">
        <v>308</v>
      </c>
      <c r="G86">
        <v>281</v>
      </c>
      <c r="H86">
        <v>86548</v>
      </c>
      <c r="I86">
        <v>21215</v>
      </c>
    </row>
    <row r="87" spans="1:9">
      <c r="A87" s="2">
        <v>45352</v>
      </c>
      <c r="B87">
        <v>2024</v>
      </c>
      <c r="C87" t="s">
        <v>11</v>
      </c>
      <c r="D87" t="s">
        <v>26</v>
      </c>
      <c r="E87" t="s">
        <v>27</v>
      </c>
      <c r="F87">
        <v>148</v>
      </c>
      <c r="G87">
        <v>355</v>
      </c>
      <c r="H87">
        <v>52540</v>
      </c>
      <c r="I87">
        <v>5263</v>
      </c>
    </row>
    <row r="88" spans="1:9">
      <c r="A88" s="2">
        <v>45352</v>
      </c>
      <c r="B88">
        <v>2024</v>
      </c>
      <c r="C88" t="s">
        <v>11</v>
      </c>
      <c r="D88" t="s">
        <v>26</v>
      </c>
      <c r="E88" t="s">
        <v>28</v>
      </c>
      <c r="F88">
        <v>418</v>
      </c>
      <c r="G88">
        <v>368</v>
      </c>
      <c r="H88">
        <v>153824</v>
      </c>
      <c r="I88">
        <v>21094</v>
      </c>
    </row>
    <row r="89" spans="1:9">
      <c r="A89" s="2">
        <v>45352</v>
      </c>
      <c r="B89">
        <v>2024</v>
      </c>
      <c r="C89" t="s">
        <v>11</v>
      </c>
      <c r="D89" t="s">
        <v>26</v>
      </c>
      <c r="E89" t="s">
        <v>29</v>
      </c>
      <c r="F89">
        <v>104</v>
      </c>
      <c r="G89">
        <v>332</v>
      </c>
      <c r="H89">
        <v>34528</v>
      </c>
      <c r="I89">
        <v>5998</v>
      </c>
    </row>
    <row r="90" spans="1:9">
      <c r="A90" s="2">
        <v>45352</v>
      </c>
      <c r="B90">
        <v>2024</v>
      </c>
      <c r="C90" t="s">
        <v>11</v>
      </c>
      <c r="D90" t="s">
        <v>26</v>
      </c>
      <c r="E90" t="s">
        <v>30</v>
      </c>
      <c r="F90">
        <v>473</v>
      </c>
      <c r="G90">
        <v>372</v>
      </c>
      <c r="H90">
        <v>175956</v>
      </c>
      <c r="I90">
        <v>26197</v>
      </c>
    </row>
    <row r="91" spans="1:9">
      <c r="A91" s="2">
        <v>45352</v>
      </c>
      <c r="B91">
        <v>2024</v>
      </c>
      <c r="C91" t="s">
        <v>11</v>
      </c>
      <c r="D91" t="s">
        <v>26</v>
      </c>
      <c r="E91" t="s">
        <v>31</v>
      </c>
      <c r="F91">
        <v>179</v>
      </c>
      <c r="G91">
        <v>342</v>
      </c>
      <c r="H91">
        <v>61218</v>
      </c>
      <c r="I91">
        <v>10301</v>
      </c>
    </row>
    <row r="92" spans="1:9">
      <c r="A92" s="2">
        <v>45383</v>
      </c>
      <c r="B92">
        <v>2024</v>
      </c>
      <c r="C92" t="s">
        <v>12</v>
      </c>
      <c r="D92" t="s">
        <v>21</v>
      </c>
      <c r="E92" t="s">
        <v>27</v>
      </c>
      <c r="F92">
        <v>178</v>
      </c>
      <c r="G92">
        <v>1219</v>
      </c>
      <c r="H92">
        <v>216982</v>
      </c>
      <c r="I92">
        <v>43845</v>
      </c>
    </row>
    <row r="93" spans="1:9">
      <c r="A93" s="2">
        <v>45383</v>
      </c>
      <c r="B93">
        <v>2024</v>
      </c>
      <c r="C93" t="s">
        <v>12</v>
      </c>
      <c r="D93" t="s">
        <v>21</v>
      </c>
      <c r="E93" t="s">
        <v>28</v>
      </c>
      <c r="F93">
        <v>205</v>
      </c>
      <c r="G93">
        <v>1296</v>
      </c>
      <c r="H93">
        <v>265680</v>
      </c>
      <c r="I93">
        <v>52750</v>
      </c>
    </row>
    <row r="94" spans="1:9">
      <c r="A94" s="2">
        <v>45383</v>
      </c>
      <c r="B94">
        <v>2024</v>
      </c>
      <c r="C94" t="s">
        <v>12</v>
      </c>
      <c r="D94" t="s">
        <v>21</v>
      </c>
      <c r="E94" t="s">
        <v>29</v>
      </c>
      <c r="F94">
        <v>349</v>
      </c>
      <c r="G94">
        <v>1338</v>
      </c>
      <c r="H94">
        <v>466962</v>
      </c>
      <c r="I94">
        <v>101320</v>
      </c>
    </row>
    <row r="95" spans="1:9">
      <c r="A95" s="2">
        <v>45383</v>
      </c>
      <c r="B95">
        <v>2024</v>
      </c>
      <c r="C95" t="s">
        <v>12</v>
      </c>
      <c r="D95" t="s">
        <v>21</v>
      </c>
      <c r="E95" t="s">
        <v>30</v>
      </c>
      <c r="F95">
        <v>408</v>
      </c>
      <c r="G95">
        <v>1224</v>
      </c>
      <c r="H95">
        <v>499392</v>
      </c>
      <c r="I95">
        <v>57799</v>
      </c>
    </row>
    <row r="96" spans="1:9">
      <c r="A96" s="2">
        <v>45383</v>
      </c>
      <c r="B96">
        <v>2024</v>
      </c>
      <c r="C96" t="s">
        <v>12</v>
      </c>
      <c r="D96" t="s">
        <v>21</v>
      </c>
      <c r="E96" t="s">
        <v>31</v>
      </c>
      <c r="F96">
        <v>183</v>
      </c>
      <c r="G96">
        <v>1375</v>
      </c>
      <c r="H96">
        <v>251625</v>
      </c>
      <c r="I96">
        <v>30540</v>
      </c>
    </row>
    <row r="97" spans="1:9">
      <c r="A97" s="2">
        <v>45383</v>
      </c>
      <c r="B97">
        <v>2024</v>
      </c>
      <c r="C97" t="s">
        <v>12</v>
      </c>
      <c r="D97" t="s">
        <v>22</v>
      </c>
      <c r="E97" t="s">
        <v>27</v>
      </c>
      <c r="F97">
        <v>187</v>
      </c>
      <c r="G97">
        <v>816</v>
      </c>
      <c r="H97">
        <v>152592</v>
      </c>
      <c r="I97">
        <v>20073</v>
      </c>
    </row>
    <row r="98" spans="1:9">
      <c r="A98" s="2">
        <v>45383</v>
      </c>
      <c r="B98">
        <v>2024</v>
      </c>
      <c r="C98" t="s">
        <v>12</v>
      </c>
      <c r="D98" t="s">
        <v>22</v>
      </c>
      <c r="E98" t="s">
        <v>28</v>
      </c>
      <c r="F98">
        <v>283</v>
      </c>
      <c r="G98">
        <v>831</v>
      </c>
      <c r="H98">
        <v>235173</v>
      </c>
      <c r="I98">
        <v>23861</v>
      </c>
    </row>
    <row r="99" spans="1:9">
      <c r="A99" s="2">
        <v>45383</v>
      </c>
      <c r="B99">
        <v>2024</v>
      </c>
      <c r="C99" t="s">
        <v>12</v>
      </c>
      <c r="D99" t="s">
        <v>22</v>
      </c>
      <c r="E99" t="s">
        <v>29</v>
      </c>
      <c r="F99">
        <v>95</v>
      </c>
      <c r="G99">
        <v>826</v>
      </c>
      <c r="H99">
        <v>78470</v>
      </c>
      <c r="I99">
        <v>18234</v>
      </c>
    </row>
    <row r="100" spans="1:9">
      <c r="A100" s="2">
        <v>45383</v>
      </c>
      <c r="B100">
        <v>2024</v>
      </c>
      <c r="C100" t="s">
        <v>12</v>
      </c>
      <c r="D100" t="s">
        <v>22</v>
      </c>
      <c r="E100" t="s">
        <v>30</v>
      </c>
      <c r="F100">
        <v>184</v>
      </c>
      <c r="G100">
        <v>735</v>
      </c>
      <c r="H100">
        <v>135240</v>
      </c>
      <c r="I100">
        <v>21575</v>
      </c>
    </row>
    <row r="101" spans="1:9">
      <c r="A101" s="2">
        <v>45383</v>
      </c>
      <c r="B101">
        <v>2024</v>
      </c>
      <c r="C101" t="s">
        <v>12</v>
      </c>
      <c r="D101" t="s">
        <v>22</v>
      </c>
      <c r="E101" t="s">
        <v>31</v>
      </c>
      <c r="F101">
        <v>322</v>
      </c>
      <c r="G101">
        <v>915</v>
      </c>
      <c r="H101">
        <v>294630</v>
      </c>
      <c r="I101">
        <v>38339</v>
      </c>
    </row>
    <row r="102" spans="1:9">
      <c r="A102" s="2">
        <v>45383</v>
      </c>
      <c r="B102">
        <v>2024</v>
      </c>
      <c r="C102" t="s">
        <v>12</v>
      </c>
      <c r="D102" t="s">
        <v>23</v>
      </c>
      <c r="E102" t="s">
        <v>27</v>
      </c>
      <c r="F102">
        <v>237</v>
      </c>
      <c r="G102">
        <v>132</v>
      </c>
      <c r="H102">
        <v>31284</v>
      </c>
      <c r="I102">
        <v>4067</v>
      </c>
    </row>
    <row r="103" spans="1:9">
      <c r="A103" s="2">
        <v>45383</v>
      </c>
      <c r="B103">
        <v>2024</v>
      </c>
      <c r="C103" t="s">
        <v>12</v>
      </c>
      <c r="D103" t="s">
        <v>23</v>
      </c>
      <c r="E103" t="s">
        <v>28</v>
      </c>
      <c r="F103">
        <v>453</v>
      </c>
      <c r="G103">
        <v>136</v>
      </c>
      <c r="H103">
        <v>61608</v>
      </c>
      <c r="I103">
        <v>7308</v>
      </c>
    </row>
    <row r="104" spans="1:9">
      <c r="A104" s="2">
        <v>45383</v>
      </c>
      <c r="B104">
        <v>2024</v>
      </c>
      <c r="C104" t="s">
        <v>12</v>
      </c>
      <c r="D104" t="s">
        <v>23</v>
      </c>
      <c r="E104" t="s">
        <v>29</v>
      </c>
      <c r="F104">
        <v>238</v>
      </c>
      <c r="G104">
        <v>108</v>
      </c>
      <c r="H104">
        <v>25704</v>
      </c>
      <c r="I104">
        <v>6180</v>
      </c>
    </row>
    <row r="105" spans="1:9">
      <c r="A105" s="2">
        <v>45383</v>
      </c>
      <c r="B105">
        <v>2024</v>
      </c>
      <c r="C105" t="s">
        <v>12</v>
      </c>
      <c r="D105" t="s">
        <v>23</v>
      </c>
      <c r="E105" t="s">
        <v>30</v>
      </c>
      <c r="F105">
        <v>356</v>
      </c>
      <c r="G105">
        <v>124</v>
      </c>
      <c r="H105">
        <v>44144</v>
      </c>
      <c r="I105">
        <v>9109</v>
      </c>
    </row>
    <row r="106" spans="1:9">
      <c r="A106" s="2">
        <v>45383</v>
      </c>
      <c r="B106">
        <v>2024</v>
      </c>
      <c r="C106" t="s">
        <v>12</v>
      </c>
      <c r="D106" t="s">
        <v>23</v>
      </c>
      <c r="E106" t="s">
        <v>31</v>
      </c>
      <c r="F106">
        <v>405</v>
      </c>
      <c r="G106">
        <v>136</v>
      </c>
      <c r="H106">
        <v>55080</v>
      </c>
      <c r="I106">
        <v>10674</v>
      </c>
    </row>
    <row r="107" spans="1:9">
      <c r="A107" s="2">
        <v>45383</v>
      </c>
      <c r="B107">
        <v>2024</v>
      </c>
      <c r="C107" t="s">
        <v>12</v>
      </c>
      <c r="D107" t="s">
        <v>24</v>
      </c>
      <c r="E107" t="s">
        <v>27</v>
      </c>
      <c r="F107">
        <v>192</v>
      </c>
      <c r="G107">
        <v>590</v>
      </c>
      <c r="H107">
        <v>113280</v>
      </c>
      <c r="I107">
        <v>25173</v>
      </c>
    </row>
    <row r="108" spans="1:9">
      <c r="A108" s="2">
        <v>45383</v>
      </c>
      <c r="B108">
        <v>2024</v>
      </c>
      <c r="C108" t="s">
        <v>12</v>
      </c>
      <c r="D108" t="s">
        <v>24</v>
      </c>
      <c r="E108" t="s">
        <v>28</v>
      </c>
      <c r="F108">
        <v>101</v>
      </c>
      <c r="G108">
        <v>639</v>
      </c>
      <c r="H108">
        <v>64539</v>
      </c>
      <c r="I108">
        <v>11807</v>
      </c>
    </row>
    <row r="109" spans="1:9">
      <c r="A109" s="2">
        <v>45383</v>
      </c>
      <c r="B109">
        <v>2024</v>
      </c>
      <c r="C109" t="s">
        <v>12</v>
      </c>
      <c r="D109" t="s">
        <v>24</v>
      </c>
      <c r="E109" t="s">
        <v>29</v>
      </c>
      <c r="F109">
        <v>464</v>
      </c>
      <c r="G109">
        <v>657</v>
      </c>
      <c r="H109">
        <v>304848</v>
      </c>
      <c r="I109">
        <v>52475</v>
      </c>
    </row>
    <row r="110" spans="1:9">
      <c r="A110" s="2">
        <v>45383</v>
      </c>
      <c r="B110">
        <v>2024</v>
      </c>
      <c r="C110" t="s">
        <v>12</v>
      </c>
      <c r="D110" t="s">
        <v>24</v>
      </c>
      <c r="E110" t="s">
        <v>30</v>
      </c>
      <c r="F110">
        <v>243</v>
      </c>
      <c r="G110">
        <v>618</v>
      </c>
      <c r="H110">
        <v>150174</v>
      </c>
      <c r="I110">
        <v>31497</v>
      </c>
    </row>
    <row r="111" spans="1:9">
      <c r="A111" s="2">
        <v>45383</v>
      </c>
      <c r="B111">
        <v>2024</v>
      </c>
      <c r="C111" t="s">
        <v>12</v>
      </c>
      <c r="D111" t="s">
        <v>24</v>
      </c>
      <c r="E111" t="s">
        <v>31</v>
      </c>
      <c r="F111">
        <v>107</v>
      </c>
      <c r="G111">
        <v>577</v>
      </c>
      <c r="H111">
        <v>61739</v>
      </c>
      <c r="I111">
        <v>7651</v>
      </c>
    </row>
    <row r="112" spans="1:9">
      <c r="A112" s="2">
        <v>45383</v>
      </c>
      <c r="B112">
        <v>2024</v>
      </c>
      <c r="C112" t="s">
        <v>12</v>
      </c>
      <c r="D112" t="s">
        <v>25</v>
      </c>
      <c r="E112" t="s">
        <v>27</v>
      </c>
      <c r="F112">
        <v>448</v>
      </c>
      <c r="G112">
        <v>263</v>
      </c>
      <c r="H112">
        <v>117824</v>
      </c>
      <c r="I112">
        <v>17597</v>
      </c>
    </row>
    <row r="113" spans="1:9">
      <c r="A113" s="2">
        <v>45383</v>
      </c>
      <c r="B113">
        <v>2024</v>
      </c>
      <c r="C113" t="s">
        <v>12</v>
      </c>
      <c r="D113" t="s">
        <v>25</v>
      </c>
      <c r="E113" t="s">
        <v>28</v>
      </c>
      <c r="F113">
        <v>374</v>
      </c>
      <c r="G113">
        <v>246</v>
      </c>
      <c r="H113">
        <v>92004</v>
      </c>
      <c r="I113">
        <v>11713</v>
      </c>
    </row>
    <row r="114" spans="1:9">
      <c r="A114" s="2">
        <v>45383</v>
      </c>
      <c r="B114">
        <v>2024</v>
      </c>
      <c r="C114" t="s">
        <v>12</v>
      </c>
      <c r="D114" t="s">
        <v>25</v>
      </c>
      <c r="E114" t="s">
        <v>29</v>
      </c>
      <c r="F114">
        <v>233</v>
      </c>
      <c r="G114">
        <v>252</v>
      </c>
      <c r="H114">
        <v>58716</v>
      </c>
      <c r="I114">
        <v>6256</v>
      </c>
    </row>
    <row r="115" spans="1:9">
      <c r="A115" s="2">
        <v>45383</v>
      </c>
      <c r="B115">
        <v>2024</v>
      </c>
      <c r="C115" t="s">
        <v>12</v>
      </c>
      <c r="D115" t="s">
        <v>25</v>
      </c>
      <c r="E115" t="s">
        <v>30</v>
      </c>
      <c r="F115">
        <v>447</v>
      </c>
      <c r="G115">
        <v>259</v>
      </c>
      <c r="H115">
        <v>115773</v>
      </c>
      <c r="I115">
        <v>24066</v>
      </c>
    </row>
    <row r="116" spans="1:9">
      <c r="A116" s="2">
        <v>45383</v>
      </c>
      <c r="B116">
        <v>2024</v>
      </c>
      <c r="C116" t="s">
        <v>12</v>
      </c>
      <c r="D116" t="s">
        <v>25</v>
      </c>
      <c r="E116" t="s">
        <v>31</v>
      </c>
      <c r="F116">
        <v>270</v>
      </c>
      <c r="G116">
        <v>245</v>
      </c>
      <c r="H116">
        <v>66150</v>
      </c>
      <c r="I116">
        <v>11997</v>
      </c>
    </row>
    <row r="117" spans="1:9">
      <c r="A117" s="2">
        <v>45383</v>
      </c>
      <c r="B117">
        <v>2024</v>
      </c>
      <c r="C117" t="s">
        <v>12</v>
      </c>
      <c r="D117" t="s">
        <v>26</v>
      </c>
      <c r="E117" t="s">
        <v>27</v>
      </c>
      <c r="F117">
        <v>162</v>
      </c>
      <c r="G117">
        <v>371</v>
      </c>
      <c r="H117">
        <v>60102</v>
      </c>
      <c r="I117">
        <v>7809</v>
      </c>
    </row>
    <row r="118" spans="1:9">
      <c r="A118" s="2">
        <v>45383</v>
      </c>
      <c r="B118">
        <v>2024</v>
      </c>
      <c r="C118" t="s">
        <v>12</v>
      </c>
      <c r="D118" t="s">
        <v>26</v>
      </c>
      <c r="E118" t="s">
        <v>28</v>
      </c>
      <c r="F118">
        <v>134</v>
      </c>
      <c r="G118">
        <v>334</v>
      </c>
      <c r="H118">
        <v>44756</v>
      </c>
      <c r="I118">
        <v>7284</v>
      </c>
    </row>
    <row r="119" spans="1:9">
      <c r="A119" s="2">
        <v>45383</v>
      </c>
      <c r="B119">
        <v>2024</v>
      </c>
      <c r="C119" t="s">
        <v>12</v>
      </c>
      <c r="D119" t="s">
        <v>26</v>
      </c>
      <c r="E119" t="s">
        <v>29</v>
      </c>
      <c r="F119">
        <v>337</v>
      </c>
      <c r="G119">
        <v>337</v>
      </c>
      <c r="H119">
        <v>113569</v>
      </c>
      <c r="I119">
        <v>19237</v>
      </c>
    </row>
    <row r="120" spans="1:9">
      <c r="A120" s="2">
        <v>45383</v>
      </c>
      <c r="B120">
        <v>2024</v>
      </c>
      <c r="C120" t="s">
        <v>12</v>
      </c>
      <c r="D120" t="s">
        <v>26</v>
      </c>
      <c r="E120" t="s">
        <v>30</v>
      </c>
      <c r="F120">
        <v>344</v>
      </c>
      <c r="G120">
        <v>378</v>
      </c>
      <c r="H120">
        <v>130032</v>
      </c>
      <c r="I120">
        <v>27489</v>
      </c>
    </row>
    <row r="121" spans="1:9">
      <c r="A121" s="2">
        <v>45383</v>
      </c>
      <c r="B121">
        <v>2024</v>
      </c>
      <c r="C121" t="s">
        <v>12</v>
      </c>
      <c r="D121" t="s">
        <v>26</v>
      </c>
      <c r="E121" t="s">
        <v>31</v>
      </c>
      <c r="F121">
        <v>439</v>
      </c>
      <c r="G121">
        <v>345</v>
      </c>
      <c r="H121">
        <v>151455</v>
      </c>
      <c r="I121">
        <v>23574</v>
      </c>
    </row>
    <row r="122" spans="1:9">
      <c r="A122" s="2">
        <v>45413</v>
      </c>
      <c r="B122">
        <v>2024</v>
      </c>
      <c r="C122" t="s">
        <v>13</v>
      </c>
      <c r="D122" t="s">
        <v>21</v>
      </c>
      <c r="E122" t="s">
        <v>27</v>
      </c>
      <c r="F122">
        <v>114</v>
      </c>
      <c r="G122">
        <v>1231</v>
      </c>
      <c r="H122">
        <v>140334</v>
      </c>
      <c r="I122">
        <v>25469</v>
      </c>
    </row>
    <row r="123" spans="1:9">
      <c r="A123" s="2">
        <v>45413</v>
      </c>
      <c r="B123">
        <v>2024</v>
      </c>
      <c r="C123" t="s">
        <v>13</v>
      </c>
      <c r="D123" t="s">
        <v>21</v>
      </c>
      <c r="E123" t="s">
        <v>28</v>
      </c>
      <c r="F123">
        <v>203</v>
      </c>
      <c r="G123">
        <v>1256</v>
      </c>
      <c r="H123">
        <v>254968</v>
      </c>
      <c r="I123">
        <v>26620</v>
      </c>
    </row>
    <row r="124" spans="1:9">
      <c r="A124" s="2">
        <v>45413</v>
      </c>
      <c r="B124">
        <v>2024</v>
      </c>
      <c r="C124" t="s">
        <v>13</v>
      </c>
      <c r="D124" t="s">
        <v>21</v>
      </c>
      <c r="E124" t="s">
        <v>29</v>
      </c>
      <c r="F124">
        <v>356</v>
      </c>
      <c r="G124">
        <v>1342</v>
      </c>
      <c r="H124">
        <v>477752</v>
      </c>
      <c r="I124">
        <v>112322</v>
      </c>
    </row>
    <row r="125" spans="1:9">
      <c r="A125" s="2">
        <v>45413</v>
      </c>
      <c r="B125">
        <v>2024</v>
      </c>
      <c r="C125" t="s">
        <v>13</v>
      </c>
      <c r="D125" t="s">
        <v>21</v>
      </c>
      <c r="E125" t="s">
        <v>30</v>
      </c>
      <c r="F125">
        <v>395</v>
      </c>
      <c r="G125">
        <v>1276</v>
      </c>
      <c r="H125">
        <v>504020</v>
      </c>
      <c r="I125">
        <v>125410</v>
      </c>
    </row>
    <row r="126" spans="1:9">
      <c r="A126" s="2">
        <v>45413</v>
      </c>
      <c r="B126">
        <v>2024</v>
      </c>
      <c r="C126" t="s">
        <v>13</v>
      </c>
      <c r="D126" t="s">
        <v>21</v>
      </c>
      <c r="E126" t="s">
        <v>31</v>
      </c>
      <c r="F126">
        <v>307</v>
      </c>
      <c r="G126">
        <v>1353</v>
      </c>
      <c r="H126">
        <v>415371</v>
      </c>
      <c r="I126">
        <v>54662</v>
      </c>
    </row>
    <row r="127" spans="1:9">
      <c r="A127" s="2">
        <v>45413</v>
      </c>
      <c r="B127">
        <v>2024</v>
      </c>
      <c r="C127" t="s">
        <v>13</v>
      </c>
      <c r="D127" t="s">
        <v>22</v>
      </c>
      <c r="E127" t="s">
        <v>27</v>
      </c>
      <c r="F127">
        <v>366</v>
      </c>
      <c r="G127">
        <v>813</v>
      </c>
      <c r="H127">
        <v>297558</v>
      </c>
      <c r="I127">
        <v>67069</v>
      </c>
    </row>
    <row r="128" spans="1:9">
      <c r="A128" s="2">
        <v>45413</v>
      </c>
      <c r="B128">
        <v>2024</v>
      </c>
      <c r="C128" t="s">
        <v>13</v>
      </c>
      <c r="D128" t="s">
        <v>22</v>
      </c>
      <c r="E128" t="s">
        <v>28</v>
      </c>
      <c r="F128">
        <v>352</v>
      </c>
      <c r="G128">
        <v>746</v>
      </c>
      <c r="H128">
        <v>262592</v>
      </c>
      <c r="I128">
        <v>54454</v>
      </c>
    </row>
    <row r="129" spans="1:9">
      <c r="A129" s="2">
        <v>45413</v>
      </c>
      <c r="B129">
        <v>2024</v>
      </c>
      <c r="C129" t="s">
        <v>13</v>
      </c>
      <c r="D129" t="s">
        <v>22</v>
      </c>
      <c r="E129" t="s">
        <v>29</v>
      </c>
      <c r="F129">
        <v>370</v>
      </c>
      <c r="G129">
        <v>840</v>
      </c>
      <c r="H129">
        <v>310800</v>
      </c>
      <c r="I129">
        <v>60569</v>
      </c>
    </row>
    <row r="130" spans="1:9">
      <c r="A130" s="2">
        <v>45413</v>
      </c>
      <c r="B130">
        <v>2024</v>
      </c>
      <c r="C130" t="s">
        <v>13</v>
      </c>
      <c r="D130" t="s">
        <v>22</v>
      </c>
      <c r="E130" t="s">
        <v>30</v>
      </c>
      <c r="F130">
        <v>107</v>
      </c>
      <c r="G130">
        <v>914</v>
      </c>
      <c r="H130">
        <v>97798</v>
      </c>
      <c r="I130">
        <v>12434</v>
      </c>
    </row>
    <row r="131" spans="1:9">
      <c r="A131" s="2">
        <v>45413</v>
      </c>
      <c r="B131">
        <v>2024</v>
      </c>
      <c r="C131" t="s">
        <v>13</v>
      </c>
      <c r="D131" t="s">
        <v>22</v>
      </c>
      <c r="E131" t="s">
        <v>31</v>
      </c>
      <c r="F131">
        <v>139</v>
      </c>
      <c r="G131">
        <v>769</v>
      </c>
      <c r="H131">
        <v>106891</v>
      </c>
      <c r="I131">
        <v>24650</v>
      </c>
    </row>
    <row r="132" spans="1:9">
      <c r="A132" s="2">
        <v>45413</v>
      </c>
      <c r="B132">
        <v>2024</v>
      </c>
      <c r="C132" t="s">
        <v>13</v>
      </c>
      <c r="D132" t="s">
        <v>23</v>
      </c>
      <c r="E132" t="s">
        <v>27</v>
      </c>
      <c r="F132">
        <v>220</v>
      </c>
      <c r="G132">
        <v>125</v>
      </c>
      <c r="H132">
        <v>27500</v>
      </c>
      <c r="I132">
        <v>5140</v>
      </c>
    </row>
    <row r="133" spans="1:9">
      <c r="A133" s="2">
        <v>45413</v>
      </c>
      <c r="B133">
        <v>2024</v>
      </c>
      <c r="C133" t="s">
        <v>13</v>
      </c>
      <c r="D133" t="s">
        <v>23</v>
      </c>
      <c r="E133" t="s">
        <v>28</v>
      </c>
      <c r="F133">
        <v>189</v>
      </c>
      <c r="G133">
        <v>125</v>
      </c>
      <c r="H133">
        <v>23625</v>
      </c>
      <c r="I133">
        <v>2941</v>
      </c>
    </row>
    <row r="134" spans="1:9">
      <c r="A134" s="2">
        <v>45413</v>
      </c>
      <c r="B134">
        <v>2024</v>
      </c>
      <c r="C134" t="s">
        <v>13</v>
      </c>
      <c r="D134" t="s">
        <v>23</v>
      </c>
      <c r="E134" t="s">
        <v>29</v>
      </c>
      <c r="F134">
        <v>124</v>
      </c>
      <c r="G134">
        <v>115</v>
      </c>
      <c r="H134">
        <v>14260</v>
      </c>
      <c r="I134">
        <v>2830</v>
      </c>
    </row>
    <row r="135" spans="1:9">
      <c r="A135" s="2">
        <v>45413</v>
      </c>
      <c r="B135">
        <v>2024</v>
      </c>
      <c r="C135" t="s">
        <v>13</v>
      </c>
      <c r="D135" t="s">
        <v>23</v>
      </c>
      <c r="E135" t="s">
        <v>30</v>
      </c>
      <c r="F135">
        <v>281</v>
      </c>
      <c r="G135">
        <v>137</v>
      </c>
      <c r="H135">
        <v>38497</v>
      </c>
      <c r="I135">
        <v>6470</v>
      </c>
    </row>
    <row r="136" spans="1:9">
      <c r="A136" s="2">
        <v>45413</v>
      </c>
      <c r="B136">
        <v>2024</v>
      </c>
      <c r="C136" t="s">
        <v>13</v>
      </c>
      <c r="D136" t="s">
        <v>23</v>
      </c>
      <c r="E136" t="s">
        <v>31</v>
      </c>
      <c r="F136">
        <v>103</v>
      </c>
      <c r="G136">
        <v>110</v>
      </c>
      <c r="H136">
        <v>11330</v>
      </c>
      <c r="I136">
        <v>1421</v>
      </c>
    </row>
    <row r="137" spans="1:9">
      <c r="A137" s="2">
        <v>45413</v>
      </c>
      <c r="B137">
        <v>2024</v>
      </c>
      <c r="C137" t="s">
        <v>13</v>
      </c>
      <c r="D137" t="s">
        <v>24</v>
      </c>
      <c r="E137" t="s">
        <v>27</v>
      </c>
      <c r="F137">
        <v>199</v>
      </c>
      <c r="G137">
        <v>590</v>
      </c>
      <c r="H137">
        <v>117410</v>
      </c>
      <c r="I137">
        <v>26338</v>
      </c>
    </row>
    <row r="138" spans="1:9">
      <c r="A138" s="2">
        <v>45413</v>
      </c>
      <c r="B138">
        <v>2024</v>
      </c>
      <c r="C138" t="s">
        <v>13</v>
      </c>
      <c r="D138" t="s">
        <v>24</v>
      </c>
      <c r="E138" t="s">
        <v>28</v>
      </c>
      <c r="F138">
        <v>389</v>
      </c>
      <c r="G138">
        <v>607</v>
      </c>
      <c r="H138">
        <v>236123</v>
      </c>
      <c r="I138">
        <v>44434</v>
      </c>
    </row>
    <row r="139" spans="1:9">
      <c r="A139" s="2">
        <v>45413</v>
      </c>
      <c r="B139">
        <v>2024</v>
      </c>
      <c r="C139" t="s">
        <v>13</v>
      </c>
      <c r="D139" t="s">
        <v>24</v>
      </c>
      <c r="E139" t="s">
        <v>29</v>
      </c>
      <c r="F139">
        <v>92</v>
      </c>
      <c r="G139">
        <v>577</v>
      </c>
      <c r="H139">
        <v>53084</v>
      </c>
      <c r="I139">
        <v>8168</v>
      </c>
    </row>
    <row r="140" spans="1:9">
      <c r="A140" s="2">
        <v>45413</v>
      </c>
      <c r="B140">
        <v>2024</v>
      </c>
      <c r="C140" t="s">
        <v>13</v>
      </c>
      <c r="D140" t="s">
        <v>24</v>
      </c>
      <c r="E140" t="s">
        <v>30</v>
      </c>
      <c r="F140">
        <v>421</v>
      </c>
      <c r="G140">
        <v>545</v>
      </c>
      <c r="H140">
        <v>229445</v>
      </c>
      <c r="I140">
        <v>48289</v>
      </c>
    </row>
    <row r="141" spans="1:9">
      <c r="A141" s="2">
        <v>45413</v>
      </c>
      <c r="B141">
        <v>2024</v>
      </c>
      <c r="C141" t="s">
        <v>13</v>
      </c>
      <c r="D141" t="s">
        <v>24</v>
      </c>
      <c r="E141" t="s">
        <v>31</v>
      </c>
      <c r="F141">
        <v>328</v>
      </c>
      <c r="G141">
        <v>611</v>
      </c>
      <c r="H141">
        <v>200408</v>
      </c>
      <c r="I141">
        <v>45417</v>
      </c>
    </row>
    <row r="142" spans="1:9">
      <c r="A142" s="2">
        <v>45413</v>
      </c>
      <c r="B142">
        <v>2024</v>
      </c>
      <c r="C142" t="s">
        <v>13</v>
      </c>
      <c r="D142" t="s">
        <v>25</v>
      </c>
      <c r="E142" t="s">
        <v>27</v>
      </c>
      <c r="F142">
        <v>142</v>
      </c>
      <c r="G142">
        <v>252</v>
      </c>
      <c r="H142">
        <v>35784</v>
      </c>
      <c r="I142">
        <v>8217</v>
      </c>
    </row>
    <row r="143" spans="1:9">
      <c r="A143" s="2">
        <v>45413</v>
      </c>
      <c r="B143">
        <v>2024</v>
      </c>
      <c r="C143" t="s">
        <v>13</v>
      </c>
      <c r="D143" t="s">
        <v>25</v>
      </c>
      <c r="E143" t="s">
        <v>28</v>
      </c>
      <c r="F143">
        <v>216</v>
      </c>
      <c r="G143">
        <v>258</v>
      </c>
      <c r="H143">
        <v>55728</v>
      </c>
      <c r="I143">
        <v>5858</v>
      </c>
    </row>
    <row r="144" spans="1:9">
      <c r="A144" s="2">
        <v>45413</v>
      </c>
      <c r="B144">
        <v>2024</v>
      </c>
      <c r="C144" t="s">
        <v>13</v>
      </c>
      <c r="D144" t="s">
        <v>25</v>
      </c>
      <c r="E144" t="s">
        <v>29</v>
      </c>
      <c r="F144">
        <v>242</v>
      </c>
      <c r="G144">
        <v>232</v>
      </c>
      <c r="H144">
        <v>56144</v>
      </c>
      <c r="I144">
        <v>7560</v>
      </c>
    </row>
    <row r="145" spans="1:9">
      <c r="A145" s="2">
        <v>45413</v>
      </c>
      <c r="B145">
        <v>2024</v>
      </c>
      <c r="C145" t="s">
        <v>13</v>
      </c>
      <c r="D145" t="s">
        <v>25</v>
      </c>
      <c r="E145" t="s">
        <v>30</v>
      </c>
      <c r="F145">
        <v>418</v>
      </c>
      <c r="G145">
        <v>227</v>
      </c>
      <c r="H145">
        <v>94886</v>
      </c>
      <c r="I145">
        <v>11226</v>
      </c>
    </row>
    <row r="146" spans="1:9">
      <c r="A146" s="2">
        <v>45413</v>
      </c>
      <c r="B146">
        <v>2024</v>
      </c>
      <c r="C146" t="s">
        <v>13</v>
      </c>
      <c r="D146" t="s">
        <v>25</v>
      </c>
      <c r="E146" t="s">
        <v>31</v>
      </c>
      <c r="F146">
        <v>321</v>
      </c>
      <c r="G146">
        <v>236</v>
      </c>
      <c r="H146">
        <v>75756</v>
      </c>
      <c r="I146">
        <v>8581</v>
      </c>
    </row>
    <row r="147" spans="1:9">
      <c r="A147" s="2">
        <v>45413</v>
      </c>
      <c r="B147">
        <v>2024</v>
      </c>
      <c r="C147" t="s">
        <v>13</v>
      </c>
      <c r="D147" t="s">
        <v>26</v>
      </c>
      <c r="E147" t="s">
        <v>27</v>
      </c>
      <c r="F147">
        <v>278</v>
      </c>
      <c r="G147">
        <v>359</v>
      </c>
      <c r="H147">
        <v>99802</v>
      </c>
      <c r="I147">
        <v>10602</v>
      </c>
    </row>
    <row r="148" spans="1:9">
      <c r="A148" s="2">
        <v>45413</v>
      </c>
      <c r="B148">
        <v>2024</v>
      </c>
      <c r="C148" t="s">
        <v>13</v>
      </c>
      <c r="D148" t="s">
        <v>26</v>
      </c>
      <c r="E148" t="s">
        <v>28</v>
      </c>
      <c r="F148">
        <v>411</v>
      </c>
      <c r="G148">
        <v>401</v>
      </c>
      <c r="H148">
        <v>164811</v>
      </c>
      <c r="I148">
        <v>40340</v>
      </c>
    </row>
    <row r="149" spans="1:9">
      <c r="A149" s="2">
        <v>45413</v>
      </c>
      <c r="B149">
        <v>2024</v>
      </c>
      <c r="C149" t="s">
        <v>13</v>
      </c>
      <c r="D149" t="s">
        <v>26</v>
      </c>
      <c r="E149" t="s">
        <v>29</v>
      </c>
      <c r="F149">
        <v>438</v>
      </c>
      <c r="G149">
        <v>316</v>
      </c>
      <c r="H149">
        <v>138408</v>
      </c>
      <c r="I149">
        <v>20549</v>
      </c>
    </row>
    <row r="150" spans="1:9">
      <c r="A150" s="2">
        <v>45413</v>
      </c>
      <c r="B150">
        <v>2024</v>
      </c>
      <c r="C150" t="s">
        <v>13</v>
      </c>
      <c r="D150" t="s">
        <v>26</v>
      </c>
      <c r="E150" t="s">
        <v>30</v>
      </c>
      <c r="F150">
        <v>422</v>
      </c>
      <c r="G150">
        <v>390</v>
      </c>
      <c r="H150">
        <v>164580</v>
      </c>
      <c r="I150">
        <v>27684</v>
      </c>
    </row>
    <row r="151" spans="1:9">
      <c r="A151" s="2">
        <v>45413</v>
      </c>
      <c r="B151">
        <v>2024</v>
      </c>
      <c r="C151" t="s">
        <v>13</v>
      </c>
      <c r="D151" t="s">
        <v>26</v>
      </c>
      <c r="E151" t="s">
        <v>31</v>
      </c>
      <c r="F151">
        <v>298</v>
      </c>
      <c r="G151">
        <v>344</v>
      </c>
      <c r="H151">
        <v>102512</v>
      </c>
      <c r="I151">
        <v>18435</v>
      </c>
    </row>
    <row r="152" spans="1:9">
      <c r="A152" s="2">
        <v>45444</v>
      </c>
      <c r="B152">
        <v>2024</v>
      </c>
      <c r="C152" t="s">
        <v>14</v>
      </c>
      <c r="D152" t="s">
        <v>21</v>
      </c>
      <c r="E152" t="s">
        <v>27</v>
      </c>
      <c r="F152">
        <v>260</v>
      </c>
      <c r="G152">
        <v>1088</v>
      </c>
      <c r="H152">
        <v>282880</v>
      </c>
      <c r="I152">
        <v>41354</v>
      </c>
    </row>
    <row r="153" spans="1:9">
      <c r="A153" s="2">
        <v>45444</v>
      </c>
      <c r="B153">
        <v>2024</v>
      </c>
      <c r="C153" t="s">
        <v>14</v>
      </c>
      <c r="D153" t="s">
        <v>21</v>
      </c>
      <c r="E153" t="s">
        <v>28</v>
      </c>
      <c r="F153">
        <v>354</v>
      </c>
      <c r="G153">
        <v>1299</v>
      </c>
      <c r="H153">
        <v>459846</v>
      </c>
      <c r="I153">
        <v>57185</v>
      </c>
    </row>
    <row r="154" spans="1:9">
      <c r="A154" s="2">
        <v>45444</v>
      </c>
      <c r="B154">
        <v>2024</v>
      </c>
      <c r="C154" t="s">
        <v>14</v>
      </c>
      <c r="D154" t="s">
        <v>21</v>
      </c>
      <c r="E154" t="s">
        <v>29</v>
      </c>
      <c r="F154">
        <v>235</v>
      </c>
      <c r="G154">
        <v>1299</v>
      </c>
      <c r="H154">
        <v>305265</v>
      </c>
      <c r="I154">
        <v>37677</v>
      </c>
    </row>
    <row r="155" spans="1:9">
      <c r="A155" s="2">
        <v>45444</v>
      </c>
      <c r="B155">
        <v>2024</v>
      </c>
      <c r="C155" t="s">
        <v>14</v>
      </c>
      <c r="D155" t="s">
        <v>21</v>
      </c>
      <c r="E155" t="s">
        <v>30</v>
      </c>
      <c r="F155">
        <v>95</v>
      </c>
      <c r="G155">
        <v>1369</v>
      </c>
      <c r="H155">
        <v>130055</v>
      </c>
      <c r="I155">
        <v>17986</v>
      </c>
    </row>
    <row r="156" spans="1:9">
      <c r="A156" s="2">
        <v>45444</v>
      </c>
      <c r="B156">
        <v>2024</v>
      </c>
      <c r="C156" t="s">
        <v>14</v>
      </c>
      <c r="D156" t="s">
        <v>21</v>
      </c>
      <c r="E156" t="s">
        <v>31</v>
      </c>
      <c r="F156">
        <v>307</v>
      </c>
      <c r="G156">
        <v>1331</v>
      </c>
      <c r="H156">
        <v>408617</v>
      </c>
      <c r="I156">
        <v>98759</v>
      </c>
    </row>
    <row r="157" spans="1:9">
      <c r="A157" s="2">
        <v>45444</v>
      </c>
      <c r="B157">
        <v>2024</v>
      </c>
      <c r="C157" t="s">
        <v>14</v>
      </c>
      <c r="D157" t="s">
        <v>22</v>
      </c>
      <c r="E157" t="s">
        <v>27</v>
      </c>
      <c r="F157">
        <v>218</v>
      </c>
      <c r="G157">
        <v>768</v>
      </c>
      <c r="H157">
        <v>167424</v>
      </c>
      <c r="I157">
        <v>37608</v>
      </c>
    </row>
    <row r="158" spans="1:9">
      <c r="A158" s="2">
        <v>45444</v>
      </c>
      <c r="B158">
        <v>2024</v>
      </c>
      <c r="C158" t="s">
        <v>14</v>
      </c>
      <c r="D158" t="s">
        <v>22</v>
      </c>
      <c r="E158" t="s">
        <v>28</v>
      </c>
      <c r="F158">
        <v>432</v>
      </c>
      <c r="G158">
        <v>834</v>
      </c>
      <c r="H158">
        <v>360288</v>
      </c>
      <c r="I158">
        <v>37671</v>
      </c>
    </row>
    <row r="159" spans="1:9">
      <c r="A159" s="2">
        <v>45444</v>
      </c>
      <c r="B159">
        <v>2024</v>
      </c>
      <c r="C159" t="s">
        <v>14</v>
      </c>
      <c r="D159" t="s">
        <v>22</v>
      </c>
      <c r="E159" t="s">
        <v>29</v>
      </c>
      <c r="F159">
        <v>431</v>
      </c>
      <c r="G159">
        <v>903</v>
      </c>
      <c r="H159">
        <v>389193</v>
      </c>
      <c r="I159">
        <v>73982</v>
      </c>
    </row>
    <row r="160" spans="1:9">
      <c r="A160" s="2">
        <v>45444</v>
      </c>
      <c r="B160">
        <v>2024</v>
      </c>
      <c r="C160" t="s">
        <v>14</v>
      </c>
      <c r="D160" t="s">
        <v>22</v>
      </c>
      <c r="E160" t="s">
        <v>30</v>
      </c>
      <c r="F160">
        <v>414</v>
      </c>
      <c r="G160">
        <v>851</v>
      </c>
      <c r="H160">
        <v>352314</v>
      </c>
      <c r="I160">
        <v>56045</v>
      </c>
    </row>
    <row r="161" spans="1:9">
      <c r="A161" s="2">
        <v>45444</v>
      </c>
      <c r="B161">
        <v>2024</v>
      </c>
      <c r="C161" t="s">
        <v>14</v>
      </c>
      <c r="D161" t="s">
        <v>22</v>
      </c>
      <c r="E161" t="s">
        <v>31</v>
      </c>
      <c r="F161">
        <v>167</v>
      </c>
      <c r="G161">
        <v>835</v>
      </c>
      <c r="H161">
        <v>139445</v>
      </c>
      <c r="I161">
        <v>21235</v>
      </c>
    </row>
    <row r="162" spans="1:9">
      <c r="A162" s="2">
        <v>45444</v>
      </c>
      <c r="B162">
        <v>2024</v>
      </c>
      <c r="C162" t="s">
        <v>14</v>
      </c>
      <c r="D162" t="s">
        <v>23</v>
      </c>
      <c r="E162" t="s">
        <v>27</v>
      </c>
      <c r="F162">
        <v>306</v>
      </c>
      <c r="G162">
        <v>109</v>
      </c>
      <c r="H162">
        <v>33354</v>
      </c>
      <c r="I162">
        <v>8224</v>
      </c>
    </row>
    <row r="163" spans="1:9">
      <c r="A163" s="2">
        <v>45444</v>
      </c>
      <c r="B163">
        <v>2024</v>
      </c>
      <c r="C163" t="s">
        <v>14</v>
      </c>
      <c r="D163" t="s">
        <v>23</v>
      </c>
      <c r="E163" t="s">
        <v>28</v>
      </c>
      <c r="F163">
        <v>280</v>
      </c>
      <c r="G163">
        <v>137</v>
      </c>
      <c r="H163">
        <v>38360</v>
      </c>
      <c r="I163">
        <v>8165</v>
      </c>
    </row>
    <row r="164" spans="1:9">
      <c r="A164" s="2">
        <v>45444</v>
      </c>
      <c r="B164">
        <v>2024</v>
      </c>
      <c r="C164" t="s">
        <v>14</v>
      </c>
      <c r="D164" t="s">
        <v>23</v>
      </c>
      <c r="E164" t="s">
        <v>29</v>
      </c>
      <c r="F164">
        <v>366</v>
      </c>
      <c r="G164">
        <v>125</v>
      </c>
      <c r="H164">
        <v>45750</v>
      </c>
      <c r="I164">
        <v>9642</v>
      </c>
    </row>
    <row r="165" spans="1:9">
      <c r="A165" s="2">
        <v>45444</v>
      </c>
      <c r="B165">
        <v>2024</v>
      </c>
      <c r="C165" t="s">
        <v>14</v>
      </c>
      <c r="D165" t="s">
        <v>23</v>
      </c>
      <c r="E165" t="s">
        <v>30</v>
      </c>
      <c r="F165">
        <v>200</v>
      </c>
      <c r="G165">
        <v>120</v>
      </c>
      <c r="H165">
        <v>24000</v>
      </c>
      <c r="I165">
        <v>3577</v>
      </c>
    </row>
    <row r="166" spans="1:9">
      <c r="A166" s="2">
        <v>45444</v>
      </c>
      <c r="B166">
        <v>2024</v>
      </c>
      <c r="C166" t="s">
        <v>14</v>
      </c>
      <c r="D166" t="s">
        <v>23</v>
      </c>
      <c r="E166" t="s">
        <v>31</v>
      </c>
      <c r="F166">
        <v>204</v>
      </c>
      <c r="G166">
        <v>121</v>
      </c>
      <c r="H166">
        <v>24684</v>
      </c>
      <c r="I166">
        <v>5805</v>
      </c>
    </row>
    <row r="167" spans="1:9">
      <c r="A167" s="2">
        <v>45444</v>
      </c>
      <c r="B167">
        <v>2024</v>
      </c>
      <c r="C167" t="s">
        <v>14</v>
      </c>
      <c r="D167" t="s">
        <v>24</v>
      </c>
      <c r="E167" t="s">
        <v>27</v>
      </c>
      <c r="F167">
        <v>405</v>
      </c>
      <c r="G167">
        <v>605</v>
      </c>
      <c r="H167">
        <v>245025</v>
      </c>
      <c r="I167">
        <v>54560</v>
      </c>
    </row>
    <row r="168" spans="1:9">
      <c r="A168" s="2">
        <v>45444</v>
      </c>
      <c r="B168">
        <v>2024</v>
      </c>
      <c r="C168" t="s">
        <v>14</v>
      </c>
      <c r="D168" t="s">
        <v>24</v>
      </c>
      <c r="E168" t="s">
        <v>28</v>
      </c>
      <c r="F168">
        <v>440</v>
      </c>
      <c r="G168">
        <v>637</v>
      </c>
      <c r="H168">
        <v>280280</v>
      </c>
      <c r="I168">
        <v>41833</v>
      </c>
    </row>
    <row r="169" spans="1:9">
      <c r="A169" s="2">
        <v>45444</v>
      </c>
      <c r="B169">
        <v>2024</v>
      </c>
      <c r="C169" t="s">
        <v>14</v>
      </c>
      <c r="D169" t="s">
        <v>24</v>
      </c>
      <c r="E169" t="s">
        <v>29</v>
      </c>
      <c r="F169">
        <v>162</v>
      </c>
      <c r="G169">
        <v>594</v>
      </c>
      <c r="H169">
        <v>96228</v>
      </c>
      <c r="I169">
        <v>15341</v>
      </c>
    </row>
    <row r="170" spans="1:9">
      <c r="A170" s="2">
        <v>45444</v>
      </c>
      <c r="B170">
        <v>2024</v>
      </c>
      <c r="C170" t="s">
        <v>14</v>
      </c>
      <c r="D170" t="s">
        <v>24</v>
      </c>
      <c r="E170" t="s">
        <v>30</v>
      </c>
      <c r="F170">
        <v>447</v>
      </c>
      <c r="G170">
        <v>622</v>
      </c>
      <c r="H170">
        <v>278034</v>
      </c>
      <c r="I170">
        <v>52679</v>
      </c>
    </row>
    <row r="171" spans="1:9">
      <c r="A171" s="2">
        <v>45444</v>
      </c>
      <c r="B171">
        <v>2024</v>
      </c>
      <c r="C171" t="s">
        <v>14</v>
      </c>
      <c r="D171" t="s">
        <v>24</v>
      </c>
      <c r="E171" t="s">
        <v>31</v>
      </c>
      <c r="F171">
        <v>342</v>
      </c>
      <c r="G171">
        <v>595</v>
      </c>
      <c r="H171">
        <v>203490</v>
      </c>
      <c r="I171">
        <v>27286</v>
      </c>
    </row>
    <row r="172" spans="1:9">
      <c r="A172" s="2">
        <v>45444</v>
      </c>
      <c r="B172">
        <v>2024</v>
      </c>
      <c r="C172" t="s">
        <v>14</v>
      </c>
      <c r="D172" t="s">
        <v>25</v>
      </c>
      <c r="E172" t="s">
        <v>27</v>
      </c>
      <c r="F172">
        <v>391</v>
      </c>
      <c r="G172">
        <v>262</v>
      </c>
      <c r="H172">
        <v>102442</v>
      </c>
      <c r="I172">
        <v>20512</v>
      </c>
    </row>
    <row r="173" spans="1:9">
      <c r="A173" s="2">
        <v>45444</v>
      </c>
      <c r="B173">
        <v>2024</v>
      </c>
      <c r="C173" t="s">
        <v>14</v>
      </c>
      <c r="D173" t="s">
        <v>25</v>
      </c>
      <c r="E173" t="s">
        <v>28</v>
      </c>
      <c r="F173">
        <v>389</v>
      </c>
      <c r="G173">
        <v>248</v>
      </c>
      <c r="H173">
        <v>96472</v>
      </c>
      <c r="I173">
        <v>22140</v>
      </c>
    </row>
    <row r="174" spans="1:9">
      <c r="A174" s="2">
        <v>45444</v>
      </c>
      <c r="B174">
        <v>2024</v>
      </c>
      <c r="C174" t="s">
        <v>14</v>
      </c>
      <c r="D174" t="s">
        <v>25</v>
      </c>
      <c r="E174" t="s">
        <v>29</v>
      </c>
      <c r="F174">
        <v>433</v>
      </c>
      <c r="G174">
        <v>277</v>
      </c>
      <c r="H174">
        <v>119941</v>
      </c>
      <c r="I174">
        <v>28442</v>
      </c>
    </row>
    <row r="175" spans="1:9">
      <c r="A175" s="2">
        <v>45444</v>
      </c>
      <c r="B175">
        <v>2024</v>
      </c>
      <c r="C175" t="s">
        <v>14</v>
      </c>
      <c r="D175" t="s">
        <v>25</v>
      </c>
      <c r="E175" t="s">
        <v>30</v>
      </c>
      <c r="F175">
        <v>339</v>
      </c>
      <c r="G175">
        <v>246</v>
      </c>
      <c r="H175">
        <v>83394</v>
      </c>
      <c r="I175">
        <v>13095</v>
      </c>
    </row>
    <row r="176" spans="1:9">
      <c r="A176" s="2">
        <v>45444</v>
      </c>
      <c r="B176">
        <v>2024</v>
      </c>
      <c r="C176" t="s">
        <v>14</v>
      </c>
      <c r="D176" t="s">
        <v>25</v>
      </c>
      <c r="E176" t="s">
        <v>31</v>
      </c>
      <c r="F176">
        <v>433</v>
      </c>
      <c r="G176">
        <v>261</v>
      </c>
      <c r="H176">
        <v>113013</v>
      </c>
      <c r="I176">
        <v>20346</v>
      </c>
    </row>
    <row r="177" spans="1:9">
      <c r="A177" s="2">
        <v>45444</v>
      </c>
      <c r="B177">
        <v>2024</v>
      </c>
      <c r="C177" t="s">
        <v>14</v>
      </c>
      <c r="D177" t="s">
        <v>26</v>
      </c>
      <c r="E177" t="s">
        <v>27</v>
      </c>
      <c r="F177">
        <v>396</v>
      </c>
      <c r="G177">
        <v>349</v>
      </c>
      <c r="H177">
        <v>138204</v>
      </c>
      <c r="I177">
        <v>25210</v>
      </c>
    </row>
    <row r="178" spans="1:9">
      <c r="A178" s="2">
        <v>45444</v>
      </c>
      <c r="B178">
        <v>2024</v>
      </c>
      <c r="C178" t="s">
        <v>14</v>
      </c>
      <c r="D178" t="s">
        <v>26</v>
      </c>
      <c r="E178" t="s">
        <v>28</v>
      </c>
      <c r="F178">
        <v>431</v>
      </c>
      <c r="G178">
        <v>377</v>
      </c>
      <c r="H178">
        <v>162487</v>
      </c>
      <c r="I178">
        <v>39537</v>
      </c>
    </row>
    <row r="179" spans="1:9">
      <c r="A179" s="2">
        <v>45444</v>
      </c>
      <c r="B179">
        <v>2024</v>
      </c>
      <c r="C179" t="s">
        <v>14</v>
      </c>
      <c r="D179" t="s">
        <v>26</v>
      </c>
      <c r="E179" t="s">
        <v>29</v>
      </c>
      <c r="F179">
        <v>113</v>
      </c>
      <c r="G179">
        <v>332</v>
      </c>
      <c r="H179">
        <v>37516</v>
      </c>
      <c r="I179">
        <v>3794</v>
      </c>
    </row>
    <row r="180" spans="1:9">
      <c r="A180" s="2">
        <v>45444</v>
      </c>
      <c r="B180">
        <v>2024</v>
      </c>
      <c r="C180" t="s">
        <v>14</v>
      </c>
      <c r="D180" t="s">
        <v>26</v>
      </c>
      <c r="E180" t="s">
        <v>30</v>
      </c>
      <c r="F180">
        <v>432</v>
      </c>
      <c r="G180">
        <v>321</v>
      </c>
      <c r="H180">
        <v>138672</v>
      </c>
      <c r="I180">
        <v>33724</v>
      </c>
    </row>
    <row r="181" spans="1:9">
      <c r="A181" s="2">
        <v>45444</v>
      </c>
      <c r="B181">
        <v>2024</v>
      </c>
      <c r="C181" t="s">
        <v>14</v>
      </c>
      <c r="D181" t="s">
        <v>26</v>
      </c>
      <c r="E181" t="s">
        <v>31</v>
      </c>
      <c r="F181">
        <v>419</v>
      </c>
      <c r="G181">
        <v>396</v>
      </c>
      <c r="H181">
        <v>165924</v>
      </c>
      <c r="I181">
        <v>18092</v>
      </c>
    </row>
    <row r="182" spans="1:9">
      <c r="A182" s="2">
        <v>45474</v>
      </c>
      <c r="B182">
        <v>2024</v>
      </c>
      <c r="C182" t="s">
        <v>15</v>
      </c>
      <c r="D182" t="s">
        <v>21</v>
      </c>
      <c r="E182" t="s">
        <v>27</v>
      </c>
      <c r="F182">
        <v>392</v>
      </c>
      <c r="G182">
        <v>1223</v>
      </c>
      <c r="H182">
        <v>479416</v>
      </c>
      <c r="I182">
        <v>61932</v>
      </c>
    </row>
    <row r="183" spans="1:9">
      <c r="A183" s="2">
        <v>45474</v>
      </c>
      <c r="B183">
        <v>2024</v>
      </c>
      <c r="C183" t="s">
        <v>15</v>
      </c>
      <c r="D183" t="s">
        <v>21</v>
      </c>
      <c r="E183" t="s">
        <v>28</v>
      </c>
      <c r="F183">
        <v>144</v>
      </c>
      <c r="G183">
        <v>1281</v>
      </c>
      <c r="H183">
        <v>184464</v>
      </c>
      <c r="I183">
        <v>44168</v>
      </c>
    </row>
    <row r="184" spans="1:9">
      <c r="A184" s="2">
        <v>45474</v>
      </c>
      <c r="B184">
        <v>2024</v>
      </c>
      <c r="C184" t="s">
        <v>15</v>
      </c>
      <c r="D184" t="s">
        <v>21</v>
      </c>
      <c r="E184" t="s">
        <v>29</v>
      </c>
      <c r="F184">
        <v>259</v>
      </c>
      <c r="G184">
        <v>1241</v>
      </c>
      <c r="H184">
        <v>321419</v>
      </c>
      <c r="I184">
        <v>47150</v>
      </c>
    </row>
    <row r="185" spans="1:9">
      <c r="A185" s="2">
        <v>45474</v>
      </c>
      <c r="B185">
        <v>2024</v>
      </c>
      <c r="C185" t="s">
        <v>15</v>
      </c>
      <c r="D185" t="s">
        <v>21</v>
      </c>
      <c r="E185" t="s">
        <v>30</v>
      </c>
      <c r="F185">
        <v>261</v>
      </c>
      <c r="G185">
        <v>1294</v>
      </c>
      <c r="H185">
        <v>337734</v>
      </c>
      <c r="I185">
        <v>47584</v>
      </c>
    </row>
    <row r="186" spans="1:9">
      <c r="A186" s="2">
        <v>45474</v>
      </c>
      <c r="B186">
        <v>2024</v>
      </c>
      <c r="C186" t="s">
        <v>15</v>
      </c>
      <c r="D186" t="s">
        <v>21</v>
      </c>
      <c r="E186" t="s">
        <v>31</v>
      </c>
      <c r="F186">
        <v>232</v>
      </c>
      <c r="G186">
        <v>1326</v>
      </c>
      <c r="H186">
        <v>307632</v>
      </c>
      <c r="I186">
        <v>54872</v>
      </c>
    </row>
    <row r="187" spans="1:9">
      <c r="A187" s="2">
        <v>45474</v>
      </c>
      <c r="B187">
        <v>2024</v>
      </c>
      <c r="C187" t="s">
        <v>15</v>
      </c>
      <c r="D187" t="s">
        <v>22</v>
      </c>
      <c r="E187" t="s">
        <v>27</v>
      </c>
      <c r="F187">
        <v>377</v>
      </c>
      <c r="G187">
        <v>856</v>
      </c>
      <c r="H187">
        <v>322712</v>
      </c>
      <c r="I187">
        <v>41054</v>
      </c>
    </row>
    <row r="188" spans="1:9">
      <c r="A188" s="2">
        <v>45474</v>
      </c>
      <c r="B188">
        <v>2024</v>
      </c>
      <c r="C188" t="s">
        <v>15</v>
      </c>
      <c r="D188" t="s">
        <v>22</v>
      </c>
      <c r="E188" t="s">
        <v>28</v>
      </c>
      <c r="F188">
        <v>262</v>
      </c>
      <c r="G188">
        <v>861</v>
      </c>
      <c r="H188">
        <v>225582</v>
      </c>
      <c r="I188">
        <v>26174</v>
      </c>
    </row>
    <row r="189" spans="1:9">
      <c r="A189" s="2">
        <v>45474</v>
      </c>
      <c r="B189">
        <v>2024</v>
      </c>
      <c r="C189" t="s">
        <v>15</v>
      </c>
      <c r="D189" t="s">
        <v>22</v>
      </c>
      <c r="E189" t="s">
        <v>29</v>
      </c>
      <c r="F189">
        <v>416</v>
      </c>
      <c r="G189">
        <v>903</v>
      </c>
      <c r="H189">
        <v>375648</v>
      </c>
      <c r="I189">
        <v>61485</v>
      </c>
    </row>
    <row r="190" spans="1:9">
      <c r="A190" s="2">
        <v>45474</v>
      </c>
      <c r="B190">
        <v>2024</v>
      </c>
      <c r="C190" t="s">
        <v>15</v>
      </c>
      <c r="D190" t="s">
        <v>22</v>
      </c>
      <c r="E190" t="s">
        <v>30</v>
      </c>
      <c r="F190">
        <v>377</v>
      </c>
      <c r="G190">
        <v>883</v>
      </c>
      <c r="H190">
        <v>332891</v>
      </c>
      <c r="I190">
        <v>51939</v>
      </c>
    </row>
    <row r="191" spans="1:9">
      <c r="A191" s="2">
        <v>45474</v>
      </c>
      <c r="B191">
        <v>2024</v>
      </c>
      <c r="C191" t="s">
        <v>15</v>
      </c>
      <c r="D191" t="s">
        <v>22</v>
      </c>
      <c r="E191" t="s">
        <v>31</v>
      </c>
      <c r="F191">
        <v>278</v>
      </c>
      <c r="G191">
        <v>846</v>
      </c>
      <c r="H191">
        <v>235188</v>
      </c>
      <c r="I191">
        <v>57082</v>
      </c>
    </row>
    <row r="192" spans="1:9">
      <c r="A192" s="2">
        <v>45474</v>
      </c>
      <c r="B192">
        <v>2024</v>
      </c>
      <c r="C192" t="s">
        <v>15</v>
      </c>
      <c r="D192" t="s">
        <v>23</v>
      </c>
      <c r="E192" t="s">
        <v>27</v>
      </c>
      <c r="F192">
        <v>217</v>
      </c>
      <c r="G192">
        <v>123</v>
      </c>
      <c r="H192">
        <v>26691</v>
      </c>
      <c r="I192">
        <v>5045</v>
      </c>
    </row>
    <row r="193" spans="1:9">
      <c r="A193" s="2">
        <v>45474</v>
      </c>
      <c r="B193">
        <v>2024</v>
      </c>
      <c r="C193" t="s">
        <v>15</v>
      </c>
      <c r="D193" t="s">
        <v>23</v>
      </c>
      <c r="E193" t="s">
        <v>28</v>
      </c>
      <c r="F193">
        <v>115</v>
      </c>
      <c r="G193">
        <v>114</v>
      </c>
      <c r="H193">
        <v>13110</v>
      </c>
      <c r="I193">
        <v>2512</v>
      </c>
    </row>
    <row r="194" spans="1:9">
      <c r="A194" s="2">
        <v>45474</v>
      </c>
      <c r="B194">
        <v>2024</v>
      </c>
      <c r="C194" t="s">
        <v>15</v>
      </c>
      <c r="D194" t="s">
        <v>23</v>
      </c>
      <c r="E194" t="s">
        <v>29</v>
      </c>
      <c r="F194">
        <v>220</v>
      </c>
      <c r="G194">
        <v>133</v>
      </c>
      <c r="H194">
        <v>29260</v>
      </c>
      <c r="I194">
        <v>6876</v>
      </c>
    </row>
    <row r="195" spans="1:9">
      <c r="A195" s="2">
        <v>45474</v>
      </c>
      <c r="B195">
        <v>2024</v>
      </c>
      <c r="C195" t="s">
        <v>15</v>
      </c>
      <c r="D195" t="s">
        <v>23</v>
      </c>
      <c r="E195" t="s">
        <v>30</v>
      </c>
      <c r="F195">
        <v>316</v>
      </c>
      <c r="G195">
        <v>124</v>
      </c>
      <c r="H195">
        <v>39184</v>
      </c>
      <c r="I195">
        <v>5420</v>
      </c>
    </row>
    <row r="196" spans="1:9">
      <c r="A196" s="2">
        <v>45474</v>
      </c>
      <c r="B196">
        <v>2024</v>
      </c>
      <c r="C196" t="s">
        <v>15</v>
      </c>
      <c r="D196" t="s">
        <v>23</v>
      </c>
      <c r="E196" t="s">
        <v>31</v>
      </c>
      <c r="F196">
        <v>162</v>
      </c>
      <c r="G196">
        <v>116</v>
      </c>
      <c r="H196">
        <v>18792</v>
      </c>
      <c r="I196">
        <v>4197</v>
      </c>
    </row>
    <row r="197" spans="1:9">
      <c r="A197" s="2">
        <v>45474</v>
      </c>
      <c r="B197">
        <v>2024</v>
      </c>
      <c r="C197" t="s">
        <v>15</v>
      </c>
      <c r="D197" t="s">
        <v>24</v>
      </c>
      <c r="E197" t="s">
        <v>27</v>
      </c>
      <c r="F197">
        <v>153</v>
      </c>
      <c r="G197">
        <v>640</v>
      </c>
      <c r="H197">
        <v>97920</v>
      </c>
      <c r="I197">
        <v>21682</v>
      </c>
    </row>
    <row r="198" spans="1:9">
      <c r="A198" s="2">
        <v>45474</v>
      </c>
      <c r="B198">
        <v>2024</v>
      </c>
      <c r="C198" t="s">
        <v>15</v>
      </c>
      <c r="D198" t="s">
        <v>24</v>
      </c>
      <c r="E198" t="s">
        <v>28</v>
      </c>
      <c r="F198">
        <v>268</v>
      </c>
      <c r="G198">
        <v>562</v>
      </c>
      <c r="H198">
        <v>150616</v>
      </c>
      <c r="I198">
        <v>24639</v>
      </c>
    </row>
    <row r="199" spans="1:9">
      <c r="A199" s="2">
        <v>45474</v>
      </c>
      <c r="B199">
        <v>2024</v>
      </c>
      <c r="C199" t="s">
        <v>15</v>
      </c>
      <c r="D199" t="s">
        <v>24</v>
      </c>
      <c r="E199" t="s">
        <v>29</v>
      </c>
      <c r="F199">
        <v>163</v>
      </c>
      <c r="G199">
        <v>565</v>
      </c>
      <c r="H199">
        <v>92095</v>
      </c>
      <c r="I199">
        <v>19388</v>
      </c>
    </row>
    <row r="200" spans="1:9">
      <c r="A200" s="2">
        <v>45474</v>
      </c>
      <c r="B200">
        <v>2024</v>
      </c>
      <c r="C200" t="s">
        <v>15</v>
      </c>
      <c r="D200" t="s">
        <v>24</v>
      </c>
      <c r="E200" t="s">
        <v>30</v>
      </c>
      <c r="F200">
        <v>336</v>
      </c>
      <c r="G200">
        <v>610</v>
      </c>
      <c r="H200">
        <v>204960</v>
      </c>
      <c r="I200">
        <v>36955</v>
      </c>
    </row>
    <row r="201" spans="1:9">
      <c r="A201" s="2">
        <v>45474</v>
      </c>
      <c r="B201">
        <v>2024</v>
      </c>
      <c r="C201" t="s">
        <v>15</v>
      </c>
      <c r="D201" t="s">
        <v>24</v>
      </c>
      <c r="E201" t="s">
        <v>31</v>
      </c>
      <c r="F201">
        <v>252</v>
      </c>
      <c r="G201">
        <v>543</v>
      </c>
      <c r="H201">
        <v>136836</v>
      </c>
      <c r="I201">
        <v>26860</v>
      </c>
    </row>
    <row r="202" spans="1:9">
      <c r="A202" s="2">
        <v>45474</v>
      </c>
      <c r="B202">
        <v>2024</v>
      </c>
      <c r="C202" t="s">
        <v>15</v>
      </c>
      <c r="D202" t="s">
        <v>25</v>
      </c>
      <c r="E202" t="s">
        <v>27</v>
      </c>
      <c r="F202">
        <v>263</v>
      </c>
      <c r="G202">
        <v>264</v>
      </c>
      <c r="H202">
        <v>69432</v>
      </c>
      <c r="I202">
        <v>9618</v>
      </c>
    </row>
    <row r="203" spans="1:9">
      <c r="A203" s="2">
        <v>45474</v>
      </c>
      <c r="B203">
        <v>2024</v>
      </c>
      <c r="C203" t="s">
        <v>15</v>
      </c>
      <c r="D203" t="s">
        <v>25</v>
      </c>
      <c r="E203" t="s">
        <v>28</v>
      </c>
      <c r="F203">
        <v>172</v>
      </c>
      <c r="G203">
        <v>262</v>
      </c>
      <c r="H203">
        <v>45064</v>
      </c>
      <c r="I203">
        <v>7864</v>
      </c>
    </row>
    <row r="204" spans="1:9">
      <c r="A204" s="2">
        <v>45474</v>
      </c>
      <c r="B204">
        <v>2024</v>
      </c>
      <c r="C204" t="s">
        <v>15</v>
      </c>
      <c r="D204" t="s">
        <v>25</v>
      </c>
      <c r="E204" t="s">
        <v>29</v>
      </c>
      <c r="F204">
        <v>371</v>
      </c>
      <c r="G204">
        <v>242</v>
      </c>
      <c r="H204">
        <v>89782</v>
      </c>
      <c r="I204">
        <v>17018</v>
      </c>
    </row>
    <row r="205" spans="1:9">
      <c r="A205" s="2">
        <v>45474</v>
      </c>
      <c r="B205">
        <v>2024</v>
      </c>
      <c r="C205" t="s">
        <v>15</v>
      </c>
      <c r="D205" t="s">
        <v>25</v>
      </c>
      <c r="E205" t="s">
        <v>30</v>
      </c>
      <c r="F205">
        <v>248</v>
      </c>
      <c r="G205">
        <v>250</v>
      </c>
      <c r="H205">
        <v>62000</v>
      </c>
      <c r="I205">
        <v>10182</v>
      </c>
    </row>
    <row r="206" spans="1:9">
      <c r="A206" s="2">
        <v>45474</v>
      </c>
      <c r="B206">
        <v>2024</v>
      </c>
      <c r="C206" t="s">
        <v>15</v>
      </c>
      <c r="D206" t="s">
        <v>25</v>
      </c>
      <c r="E206" t="s">
        <v>31</v>
      </c>
      <c r="F206">
        <v>271</v>
      </c>
      <c r="G206">
        <v>270</v>
      </c>
      <c r="H206">
        <v>73170</v>
      </c>
      <c r="I206">
        <v>7490</v>
      </c>
    </row>
    <row r="207" spans="1:9">
      <c r="A207" s="2">
        <v>45474</v>
      </c>
      <c r="B207">
        <v>2024</v>
      </c>
      <c r="C207" t="s">
        <v>15</v>
      </c>
      <c r="D207" t="s">
        <v>26</v>
      </c>
      <c r="E207" t="s">
        <v>27</v>
      </c>
      <c r="F207">
        <v>396</v>
      </c>
      <c r="G207">
        <v>326</v>
      </c>
      <c r="H207">
        <v>129096</v>
      </c>
      <c r="I207">
        <v>14925</v>
      </c>
    </row>
    <row r="208" spans="1:9">
      <c r="A208" s="2">
        <v>45474</v>
      </c>
      <c r="B208">
        <v>2024</v>
      </c>
      <c r="C208" t="s">
        <v>15</v>
      </c>
      <c r="D208" t="s">
        <v>26</v>
      </c>
      <c r="E208" t="s">
        <v>28</v>
      </c>
      <c r="F208">
        <v>327</v>
      </c>
      <c r="G208">
        <v>344</v>
      </c>
      <c r="H208">
        <v>112488</v>
      </c>
      <c r="I208">
        <v>26527</v>
      </c>
    </row>
    <row r="209" spans="1:9">
      <c r="A209" s="2">
        <v>45474</v>
      </c>
      <c r="B209">
        <v>2024</v>
      </c>
      <c r="C209" t="s">
        <v>15</v>
      </c>
      <c r="D209" t="s">
        <v>26</v>
      </c>
      <c r="E209" t="s">
        <v>29</v>
      </c>
      <c r="F209">
        <v>207</v>
      </c>
      <c r="G209">
        <v>321</v>
      </c>
      <c r="H209">
        <v>66447</v>
      </c>
      <c r="I209">
        <v>7498</v>
      </c>
    </row>
    <row r="210" spans="1:9">
      <c r="A210" s="2">
        <v>45474</v>
      </c>
      <c r="B210">
        <v>2024</v>
      </c>
      <c r="C210" t="s">
        <v>15</v>
      </c>
      <c r="D210" t="s">
        <v>26</v>
      </c>
      <c r="E210" t="s">
        <v>30</v>
      </c>
      <c r="F210">
        <v>268</v>
      </c>
      <c r="G210">
        <v>331</v>
      </c>
      <c r="H210">
        <v>88708</v>
      </c>
      <c r="I210">
        <v>13173</v>
      </c>
    </row>
    <row r="211" spans="1:9">
      <c r="A211" s="2">
        <v>45474</v>
      </c>
      <c r="B211">
        <v>2024</v>
      </c>
      <c r="C211" t="s">
        <v>15</v>
      </c>
      <c r="D211" t="s">
        <v>26</v>
      </c>
      <c r="E211" t="s">
        <v>31</v>
      </c>
      <c r="F211">
        <v>164</v>
      </c>
      <c r="G211">
        <v>346</v>
      </c>
      <c r="H211">
        <v>56744</v>
      </c>
      <c r="I211">
        <v>6265</v>
      </c>
    </row>
    <row r="212" spans="1:9">
      <c r="A212" s="2">
        <v>45505</v>
      </c>
      <c r="B212">
        <v>2024</v>
      </c>
      <c r="C212" t="s">
        <v>16</v>
      </c>
      <c r="D212" t="s">
        <v>21</v>
      </c>
      <c r="E212" t="s">
        <v>27</v>
      </c>
      <c r="F212">
        <v>138</v>
      </c>
      <c r="G212">
        <v>1329</v>
      </c>
      <c r="H212">
        <v>183402</v>
      </c>
      <c r="I212">
        <v>36761</v>
      </c>
    </row>
    <row r="213" spans="1:9">
      <c r="A213" s="2">
        <v>45505</v>
      </c>
      <c r="B213">
        <v>2024</v>
      </c>
      <c r="C213" t="s">
        <v>16</v>
      </c>
      <c r="D213" t="s">
        <v>21</v>
      </c>
      <c r="E213" t="s">
        <v>28</v>
      </c>
      <c r="F213">
        <v>114</v>
      </c>
      <c r="G213">
        <v>1272</v>
      </c>
      <c r="H213">
        <v>145008</v>
      </c>
      <c r="I213">
        <v>20398</v>
      </c>
    </row>
    <row r="214" spans="1:9">
      <c r="A214" s="2">
        <v>45505</v>
      </c>
      <c r="B214">
        <v>2024</v>
      </c>
      <c r="C214" t="s">
        <v>16</v>
      </c>
      <c r="D214" t="s">
        <v>21</v>
      </c>
      <c r="E214" t="s">
        <v>29</v>
      </c>
      <c r="F214">
        <v>302</v>
      </c>
      <c r="G214">
        <v>1275</v>
      </c>
      <c r="H214">
        <v>385050</v>
      </c>
      <c r="I214">
        <v>69287</v>
      </c>
    </row>
    <row r="215" spans="1:9">
      <c r="A215" s="2">
        <v>45505</v>
      </c>
      <c r="B215">
        <v>2024</v>
      </c>
      <c r="C215" t="s">
        <v>16</v>
      </c>
      <c r="D215" t="s">
        <v>21</v>
      </c>
      <c r="E215" t="s">
        <v>30</v>
      </c>
      <c r="F215">
        <v>148</v>
      </c>
      <c r="G215">
        <v>1179</v>
      </c>
      <c r="H215">
        <v>174492</v>
      </c>
      <c r="I215">
        <v>34972</v>
      </c>
    </row>
    <row r="216" spans="1:9">
      <c r="A216" s="2">
        <v>45505</v>
      </c>
      <c r="B216">
        <v>2024</v>
      </c>
      <c r="C216" t="s">
        <v>16</v>
      </c>
      <c r="D216" t="s">
        <v>21</v>
      </c>
      <c r="E216" t="s">
        <v>31</v>
      </c>
      <c r="F216">
        <v>318</v>
      </c>
      <c r="G216">
        <v>1193</v>
      </c>
      <c r="H216">
        <v>379374</v>
      </c>
      <c r="I216">
        <v>58591</v>
      </c>
    </row>
    <row r="217" spans="1:9">
      <c r="A217" s="2">
        <v>45505</v>
      </c>
      <c r="B217">
        <v>2024</v>
      </c>
      <c r="C217" t="s">
        <v>16</v>
      </c>
      <c r="D217" t="s">
        <v>22</v>
      </c>
      <c r="E217" t="s">
        <v>27</v>
      </c>
      <c r="F217">
        <v>400</v>
      </c>
      <c r="G217">
        <v>866</v>
      </c>
      <c r="H217">
        <v>346400</v>
      </c>
      <c r="I217">
        <v>58812</v>
      </c>
    </row>
    <row r="218" spans="1:9">
      <c r="A218" s="2">
        <v>45505</v>
      </c>
      <c r="B218">
        <v>2024</v>
      </c>
      <c r="C218" t="s">
        <v>16</v>
      </c>
      <c r="D218" t="s">
        <v>22</v>
      </c>
      <c r="E218" t="s">
        <v>28</v>
      </c>
      <c r="F218">
        <v>371</v>
      </c>
      <c r="G218">
        <v>836</v>
      </c>
      <c r="H218">
        <v>310156</v>
      </c>
      <c r="I218">
        <v>35145</v>
      </c>
    </row>
    <row r="219" spans="1:9">
      <c r="A219" s="2">
        <v>45505</v>
      </c>
      <c r="B219">
        <v>2024</v>
      </c>
      <c r="C219" t="s">
        <v>16</v>
      </c>
      <c r="D219" t="s">
        <v>22</v>
      </c>
      <c r="E219" t="s">
        <v>29</v>
      </c>
      <c r="F219">
        <v>396</v>
      </c>
      <c r="G219">
        <v>870</v>
      </c>
      <c r="H219">
        <v>344520</v>
      </c>
      <c r="I219">
        <v>43261</v>
      </c>
    </row>
    <row r="220" spans="1:9">
      <c r="A220" s="2">
        <v>45505</v>
      </c>
      <c r="B220">
        <v>2024</v>
      </c>
      <c r="C220" t="s">
        <v>16</v>
      </c>
      <c r="D220" t="s">
        <v>22</v>
      </c>
      <c r="E220" t="s">
        <v>30</v>
      </c>
      <c r="F220">
        <v>200</v>
      </c>
      <c r="G220">
        <v>739</v>
      </c>
      <c r="H220">
        <v>147800</v>
      </c>
      <c r="I220">
        <v>24764</v>
      </c>
    </row>
    <row r="221" spans="1:9">
      <c r="A221" s="2">
        <v>45505</v>
      </c>
      <c r="B221">
        <v>2024</v>
      </c>
      <c r="C221" t="s">
        <v>16</v>
      </c>
      <c r="D221" t="s">
        <v>22</v>
      </c>
      <c r="E221" t="s">
        <v>31</v>
      </c>
      <c r="F221">
        <v>98</v>
      </c>
      <c r="G221">
        <v>789</v>
      </c>
      <c r="H221">
        <v>77322</v>
      </c>
      <c r="I221">
        <v>15444</v>
      </c>
    </row>
    <row r="222" spans="1:9">
      <c r="A222" s="2">
        <v>45505</v>
      </c>
      <c r="B222">
        <v>2024</v>
      </c>
      <c r="C222" t="s">
        <v>16</v>
      </c>
      <c r="D222" t="s">
        <v>23</v>
      </c>
      <c r="E222" t="s">
        <v>27</v>
      </c>
      <c r="F222">
        <v>88</v>
      </c>
      <c r="G222">
        <v>135</v>
      </c>
      <c r="H222">
        <v>11880</v>
      </c>
      <c r="I222">
        <v>1606</v>
      </c>
    </row>
    <row r="223" spans="1:9">
      <c r="A223" s="2">
        <v>45505</v>
      </c>
      <c r="B223">
        <v>2024</v>
      </c>
      <c r="C223" t="s">
        <v>16</v>
      </c>
      <c r="D223" t="s">
        <v>23</v>
      </c>
      <c r="E223" t="s">
        <v>28</v>
      </c>
      <c r="F223">
        <v>210</v>
      </c>
      <c r="G223">
        <v>112</v>
      </c>
      <c r="H223">
        <v>23520</v>
      </c>
      <c r="I223">
        <v>5853</v>
      </c>
    </row>
    <row r="224" spans="1:9">
      <c r="A224" s="2">
        <v>45505</v>
      </c>
      <c r="B224">
        <v>2024</v>
      </c>
      <c r="C224" t="s">
        <v>16</v>
      </c>
      <c r="D224" t="s">
        <v>23</v>
      </c>
      <c r="E224" t="s">
        <v>29</v>
      </c>
      <c r="F224">
        <v>354</v>
      </c>
      <c r="G224">
        <v>124</v>
      </c>
      <c r="H224">
        <v>43896</v>
      </c>
      <c r="I224">
        <v>9933</v>
      </c>
    </row>
    <row r="225" spans="1:9">
      <c r="A225" s="2">
        <v>45505</v>
      </c>
      <c r="B225">
        <v>2024</v>
      </c>
      <c r="C225" t="s">
        <v>16</v>
      </c>
      <c r="D225" t="s">
        <v>23</v>
      </c>
      <c r="E225" t="s">
        <v>30</v>
      </c>
      <c r="F225">
        <v>246</v>
      </c>
      <c r="G225">
        <v>110</v>
      </c>
      <c r="H225">
        <v>27060</v>
      </c>
      <c r="I225">
        <v>3749</v>
      </c>
    </row>
    <row r="226" spans="1:9">
      <c r="A226" s="2">
        <v>45505</v>
      </c>
      <c r="B226">
        <v>2024</v>
      </c>
      <c r="C226" t="s">
        <v>16</v>
      </c>
      <c r="D226" t="s">
        <v>23</v>
      </c>
      <c r="E226" t="s">
        <v>31</v>
      </c>
      <c r="F226">
        <v>335</v>
      </c>
      <c r="G226">
        <v>133</v>
      </c>
      <c r="H226">
        <v>44555</v>
      </c>
      <c r="I226">
        <v>8522</v>
      </c>
    </row>
    <row r="227" spans="1:9">
      <c r="A227" s="2">
        <v>45505</v>
      </c>
      <c r="B227">
        <v>2024</v>
      </c>
      <c r="C227" t="s">
        <v>16</v>
      </c>
      <c r="D227" t="s">
        <v>24</v>
      </c>
      <c r="E227" t="s">
        <v>27</v>
      </c>
      <c r="F227">
        <v>126</v>
      </c>
      <c r="G227">
        <v>563</v>
      </c>
      <c r="H227">
        <v>70938</v>
      </c>
      <c r="I227">
        <v>7765</v>
      </c>
    </row>
    <row r="228" spans="1:9">
      <c r="A228" s="2">
        <v>45505</v>
      </c>
      <c r="B228">
        <v>2024</v>
      </c>
      <c r="C228" t="s">
        <v>16</v>
      </c>
      <c r="D228" t="s">
        <v>24</v>
      </c>
      <c r="E228" t="s">
        <v>28</v>
      </c>
      <c r="F228">
        <v>401</v>
      </c>
      <c r="G228">
        <v>585</v>
      </c>
      <c r="H228">
        <v>234585</v>
      </c>
      <c r="I228">
        <v>32716</v>
      </c>
    </row>
    <row r="229" spans="1:9">
      <c r="A229" s="2">
        <v>45505</v>
      </c>
      <c r="B229">
        <v>2024</v>
      </c>
      <c r="C229" t="s">
        <v>16</v>
      </c>
      <c r="D229" t="s">
        <v>24</v>
      </c>
      <c r="E229" t="s">
        <v>29</v>
      </c>
      <c r="F229">
        <v>157</v>
      </c>
      <c r="G229">
        <v>597</v>
      </c>
      <c r="H229">
        <v>93729</v>
      </c>
      <c r="I229">
        <v>14241</v>
      </c>
    </row>
    <row r="230" spans="1:9">
      <c r="A230" s="2">
        <v>45505</v>
      </c>
      <c r="B230">
        <v>2024</v>
      </c>
      <c r="C230" t="s">
        <v>16</v>
      </c>
      <c r="D230" t="s">
        <v>24</v>
      </c>
      <c r="E230" t="s">
        <v>30</v>
      </c>
      <c r="F230">
        <v>355</v>
      </c>
      <c r="G230">
        <v>623</v>
      </c>
      <c r="H230">
        <v>221165</v>
      </c>
      <c r="I230">
        <v>32252</v>
      </c>
    </row>
    <row r="231" spans="1:9">
      <c r="A231" s="2">
        <v>45505</v>
      </c>
      <c r="B231">
        <v>2024</v>
      </c>
      <c r="C231" t="s">
        <v>16</v>
      </c>
      <c r="D231" t="s">
        <v>24</v>
      </c>
      <c r="E231" t="s">
        <v>31</v>
      </c>
      <c r="F231">
        <v>280</v>
      </c>
      <c r="G231">
        <v>581</v>
      </c>
      <c r="H231">
        <v>162680</v>
      </c>
      <c r="I231">
        <v>39264</v>
      </c>
    </row>
    <row r="232" spans="1:9">
      <c r="A232" s="2">
        <v>45505</v>
      </c>
      <c r="B232">
        <v>2024</v>
      </c>
      <c r="C232" t="s">
        <v>16</v>
      </c>
      <c r="D232" t="s">
        <v>25</v>
      </c>
      <c r="E232" t="s">
        <v>27</v>
      </c>
      <c r="F232">
        <v>422</v>
      </c>
      <c r="G232">
        <v>235</v>
      </c>
      <c r="H232">
        <v>99170</v>
      </c>
      <c r="I232">
        <v>21613</v>
      </c>
    </row>
    <row r="233" spans="1:9">
      <c r="A233" s="2">
        <v>45505</v>
      </c>
      <c r="B233">
        <v>2024</v>
      </c>
      <c r="C233" t="s">
        <v>16</v>
      </c>
      <c r="D233" t="s">
        <v>25</v>
      </c>
      <c r="E233" t="s">
        <v>28</v>
      </c>
      <c r="F233">
        <v>240</v>
      </c>
      <c r="G233">
        <v>287</v>
      </c>
      <c r="H233">
        <v>68880</v>
      </c>
      <c r="I233">
        <v>15684</v>
      </c>
    </row>
    <row r="234" spans="1:9">
      <c r="A234" s="2">
        <v>45505</v>
      </c>
      <c r="B234">
        <v>2024</v>
      </c>
      <c r="C234" t="s">
        <v>16</v>
      </c>
      <c r="D234" t="s">
        <v>25</v>
      </c>
      <c r="E234" t="s">
        <v>29</v>
      </c>
      <c r="F234">
        <v>98</v>
      </c>
      <c r="G234">
        <v>283</v>
      </c>
      <c r="H234">
        <v>27734</v>
      </c>
      <c r="I234">
        <v>3257</v>
      </c>
    </row>
    <row r="235" spans="1:9">
      <c r="A235" s="2">
        <v>45505</v>
      </c>
      <c r="B235">
        <v>2024</v>
      </c>
      <c r="C235" t="s">
        <v>16</v>
      </c>
      <c r="D235" t="s">
        <v>25</v>
      </c>
      <c r="E235" t="s">
        <v>30</v>
      </c>
      <c r="F235">
        <v>174</v>
      </c>
      <c r="G235">
        <v>264</v>
      </c>
      <c r="H235">
        <v>45936</v>
      </c>
      <c r="I235">
        <v>9239</v>
      </c>
    </row>
    <row r="236" spans="1:9">
      <c r="A236" s="2">
        <v>45505</v>
      </c>
      <c r="B236">
        <v>2024</v>
      </c>
      <c r="C236" t="s">
        <v>16</v>
      </c>
      <c r="D236" t="s">
        <v>25</v>
      </c>
      <c r="E236" t="s">
        <v>31</v>
      </c>
      <c r="F236">
        <v>256</v>
      </c>
      <c r="G236">
        <v>270</v>
      </c>
      <c r="H236">
        <v>69120</v>
      </c>
      <c r="I236">
        <v>8376</v>
      </c>
    </row>
    <row r="237" spans="1:9">
      <c r="A237" s="2">
        <v>45505</v>
      </c>
      <c r="B237">
        <v>2024</v>
      </c>
      <c r="C237" t="s">
        <v>16</v>
      </c>
      <c r="D237" t="s">
        <v>26</v>
      </c>
      <c r="E237" t="s">
        <v>27</v>
      </c>
      <c r="F237">
        <v>93</v>
      </c>
      <c r="G237">
        <v>341</v>
      </c>
      <c r="H237">
        <v>31713</v>
      </c>
      <c r="I237">
        <v>3556</v>
      </c>
    </row>
    <row r="238" spans="1:9">
      <c r="A238" s="2">
        <v>45505</v>
      </c>
      <c r="B238">
        <v>2024</v>
      </c>
      <c r="C238" t="s">
        <v>16</v>
      </c>
      <c r="D238" t="s">
        <v>26</v>
      </c>
      <c r="E238" t="s">
        <v>28</v>
      </c>
      <c r="F238">
        <v>262</v>
      </c>
      <c r="G238">
        <v>330</v>
      </c>
      <c r="H238">
        <v>86460</v>
      </c>
      <c r="I238">
        <v>17658</v>
      </c>
    </row>
    <row r="239" spans="1:9">
      <c r="A239" s="2">
        <v>45505</v>
      </c>
      <c r="B239">
        <v>2024</v>
      </c>
      <c r="C239" t="s">
        <v>16</v>
      </c>
      <c r="D239" t="s">
        <v>26</v>
      </c>
      <c r="E239" t="s">
        <v>29</v>
      </c>
      <c r="F239">
        <v>308</v>
      </c>
      <c r="G239">
        <v>400</v>
      </c>
      <c r="H239">
        <v>123200</v>
      </c>
      <c r="I239">
        <v>24165</v>
      </c>
    </row>
    <row r="240" spans="1:9">
      <c r="A240" s="2">
        <v>45505</v>
      </c>
      <c r="B240">
        <v>2024</v>
      </c>
      <c r="C240" t="s">
        <v>16</v>
      </c>
      <c r="D240" t="s">
        <v>26</v>
      </c>
      <c r="E240" t="s">
        <v>30</v>
      </c>
      <c r="F240">
        <v>112</v>
      </c>
      <c r="G240">
        <v>365</v>
      </c>
      <c r="H240">
        <v>40880</v>
      </c>
      <c r="I240">
        <v>7027</v>
      </c>
    </row>
    <row r="241" spans="1:9">
      <c r="A241" s="2">
        <v>45505</v>
      </c>
      <c r="B241">
        <v>2024</v>
      </c>
      <c r="C241" t="s">
        <v>16</v>
      </c>
      <c r="D241" t="s">
        <v>26</v>
      </c>
      <c r="E241" t="s">
        <v>31</v>
      </c>
      <c r="F241">
        <v>398</v>
      </c>
      <c r="G241">
        <v>395</v>
      </c>
      <c r="H241">
        <v>157210</v>
      </c>
      <c r="I241">
        <v>27206</v>
      </c>
    </row>
    <row r="242" spans="1:9">
      <c r="A242" s="2">
        <v>45536</v>
      </c>
      <c r="B242">
        <v>2024</v>
      </c>
      <c r="C242" t="s">
        <v>17</v>
      </c>
      <c r="D242" t="s">
        <v>21</v>
      </c>
      <c r="E242" t="s">
        <v>27</v>
      </c>
      <c r="F242">
        <v>203</v>
      </c>
      <c r="G242">
        <v>1349</v>
      </c>
      <c r="H242">
        <v>273847</v>
      </c>
      <c r="I242">
        <v>61451</v>
      </c>
    </row>
    <row r="243" spans="1:9">
      <c r="A243" s="2">
        <v>45536</v>
      </c>
      <c r="B243">
        <v>2024</v>
      </c>
      <c r="C243" t="s">
        <v>17</v>
      </c>
      <c r="D243" t="s">
        <v>21</v>
      </c>
      <c r="E243" t="s">
        <v>28</v>
      </c>
      <c r="F243">
        <v>111</v>
      </c>
      <c r="G243">
        <v>1279</v>
      </c>
      <c r="H243">
        <v>141969</v>
      </c>
      <c r="I243">
        <v>16789</v>
      </c>
    </row>
    <row r="244" spans="1:9">
      <c r="A244" s="2">
        <v>45536</v>
      </c>
      <c r="B244">
        <v>2024</v>
      </c>
      <c r="C244" t="s">
        <v>17</v>
      </c>
      <c r="D244" t="s">
        <v>21</v>
      </c>
      <c r="E244" t="s">
        <v>29</v>
      </c>
      <c r="F244">
        <v>111</v>
      </c>
      <c r="G244">
        <v>1149</v>
      </c>
      <c r="H244">
        <v>127539</v>
      </c>
      <c r="I244">
        <v>14283</v>
      </c>
    </row>
    <row r="245" spans="1:9">
      <c r="A245" s="2">
        <v>45536</v>
      </c>
      <c r="B245">
        <v>2024</v>
      </c>
      <c r="C245" t="s">
        <v>17</v>
      </c>
      <c r="D245" t="s">
        <v>21</v>
      </c>
      <c r="E245" t="s">
        <v>30</v>
      </c>
      <c r="F245">
        <v>97</v>
      </c>
      <c r="G245">
        <v>1369</v>
      </c>
      <c r="H245">
        <v>132793</v>
      </c>
      <c r="I245">
        <v>21894</v>
      </c>
    </row>
    <row r="246" spans="1:9">
      <c r="A246" s="2">
        <v>45536</v>
      </c>
      <c r="B246">
        <v>2024</v>
      </c>
      <c r="C246" t="s">
        <v>17</v>
      </c>
      <c r="D246" t="s">
        <v>21</v>
      </c>
      <c r="E246" t="s">
        <v>31</v>
      </c>
      <c r="F246">
        <v>236</v>
      </c>
      <c r="G246">
        <v>1360</v>
      </c>
      <c r="H246">
        <v>320960</v>
      </c>
      <c r="I246">
        <v>74275</v>
      </c>
    </row>
    <row r="247" spans="1:9">
      <c r="A247" s="2">
        <v>45536</v>
      </c>
      <c r="B247">
        <v>2024</v>
      </c>
      <c r="C247" t="s">
        <v>17</v>
      </c>
      <c r="D247" t="s">
        <v>22</v>
      </c>
      <c r="E247" t="s">
        <v>27</v>
      </c>
      <c r="F247">
        <v>424</v>
      </c>
      <c r="G247">
        <v>890</v>
      </c>
      <c r="H247">
        <v>377360</v>
      </c>
      <c r="I247">
        <v>37754</v>
      </c>
    </row>
    <row r="248" spans="1:9">
      <c r="A248" s="2">
        <v>45536</v>
      </c>
      <c r="B248">
        <v>2024</v>
      </c>
      <c r="C248" t="s">
        <v>17</v>
      </c>
      <c r="D248" t="s">
        <v>22</v>
      </c>
      <c r="E248" t="s">
        <v>28</v>
      </c>
      <c r="F248">
        <v>131</v>
      </c>
      <c r="G248">
        <v>843</v>
      </c>
      <c r="H248">
        <v>110433</v>
      </c>
      <c r="I248">
        <v>21813</v>
      </c>
    </row>
    <row r="249" spans="1:9">
      <c r="A249" s="2">
        <v>45536</v>
      </c>
      <c r="B249">
        <v>2024</v>
      </c>
      <c r="C249" t="s">
        <v>17</v>
      </c>
      <c r="D249" t="s">
        <v>22</v>
      </c>
      <c r="E249" t="s">
        <v>29</v>
      </c>
      <c r="F249">
        <v>393</v>
      </c>
      <c r="G249">
        <v>732</v>
      </c>
      <c r="H249">
        <v>287676</v>
      </c>
      <c r="I249">
        <v>62458</v>
      </c>
    </row>
    <row r="250" spans="1:9">
      <c r="A250" s="2">
        <v>45536</v>
      </c>
      <c r="B250">
        <v>2024</v>
      </c>
      <c r="C250" t="s">
        <v>17</v>
      </c>
      <c r="D250" t="s">
        <v>22</v>
      </c>
      <c r="E250" t="s">
        <v>30</v>
      </c>
      <c r="F250">
        <v>370</v>
      </c>
      <c r="G250">
        <v>762</v>
      </c>
      <c r="H250">
        <v>281940</v>
      </c>
      <c r="I250">
        <v>48688</v>
      </c>
    </row>
    <row r="251" spans="1:9">
      <c r="A251" s="2">
        <v>45536</v>
      </c>
      <c r="B251">
        <v>2024</v>
      </c>
      <c r="C251" t="s">
        <v>17</v>
      </c>
      <c r="D251" t="s">
        <v>22</v>
      </c>
      <c r="E251" t="s">
        <v>31</v>
      </c>
      <c r="F251">
        <v>276</v>
      </c>
      <c r="G251">
        <v>731</v>
      </c>
      <c r="H251">
        <v>201756</v>
      </c>
      <c r="I251">
        <v>41209</v>
      </c>
    </row>
    <row r="252" spans="1:9">
      <c r="A252" s="2">
        <v>45536</v>
      </c>
      <c r="B252">
        <v>2024</v>
      </c>
      <c r="C252" t="s">
        <v>17</v>
      </c>
      <c r="D252" t="s">
        <v>23</v>
      </c>
      <c r="E252" t="s">
        <v>27</v>
      </c>
      <c r="F252">
        <v>174</v>
      </c>
      <c r="G252">
        <v>113</v>
      </c>
      <c r="H252">
        <v>19662</v>
      </c>
      <c r="I252">
        <v>2186</v>
      </c>
    </row>
    <row r="253" spans="1:9">
      <c r="A253" s="2">
        <v>45536</v>
      </c>
      <c r="B253">
        <v>2024</v>
      </c>
      <c r="C253" t="s">
        <v>17</v>
      </c>
      <c r="D253" t="s">
        <v>23</v>
      </c>
      <c r="E253" t="s">
        <v>28</v>
      </c>
      <c r="F253">
        <v>252</v>
      </c>
      <c r="G253">
        <v>117</v>
      </c>
      <c r="H253">
        <v>29484</v>
      </c>
      <c r="I253">
        <v>3395</v>
      </c>
    </row>
    <row r="254" spans="1:9">
      <c r="A254" s="2">
        <v>45536</v>
      </c>
      <c r="B254">
        <v>2024</v>
      </c>
      <c r="C254" t="s">
        <v>17</v>
      </c>
      <c r="D254" t="s">
        <v>23</v>
      </c>
      <c r="E254" t="s">
        <v>29</v>
      </c>
      <c r="F254">
        <v>170</v>
      </c>
      <c r="G254">
        <v>128</v>
      </c>
      <c r="H254">
        <v>21760</v>
      </c>
      <c r="I254">
        <v>4193</v>
      </c>
    </row>
    <row r="255" spans="1:9">
      <c r="A255" s="2">
        <v>45536</v>
      </c>
      <c r="B255">
        <v>2024</v>
      </c>
      <c r="C255" t="s">
        <v>17</v>
      </c>
      <c r="D255" t="s">
        <v>23</v>
      </c>
      <c r="E255" t="s">
        <v>30</v>
      </c>
      <c r="F255">
        <v>364</v>
      </c>
      <c r="G255">
        <v>137</v>
      </c>
      <c r="H255">
        <v>49868</v>
      </c>
      <c r="I255">
        <v>11075</v>
      </c>
    </row>
    <row r="256" spans="1:9">
      <c r="A256" s="2">
        <v>45536</v>
      </c>
      <c r="B256">
        <v>2024</v>
      </c>
      <c r="C256" t="s">
        <v>17</v>
      </c>
      <c r="D256" t="s">
        <v>23</v>
      </c>
      <c r="E256" t="s">
        <v>31</v>
      </c>
      <c r="F256">
        <v>416</v>
      </c>
      <c r="G256">
        <v>113</v>
      </c>
      <c r="H256">
        <v>47008</v>
      </c>
      <c r="I256">
        <v>9324</v>
      </c>
    </row>
    <row r="257" spans="1:9">
      <c r="A257" s="2">
        <v>45536</v>
      </c>
      <c r="B257">
        <v>2024</v>
      </c>
      <c r="C257" t="s">
        <v>17</v>
      </c>
      <c r="D257" t="s">
        <v>24</v>
      </c>
      <c r="E257" t="s">
        <v>27</v>
      </c>
      <c r="F257">
        <v>333</v>
      </c>
      <c r="G257">
        <v>648</v>
      </c>
      <c r="H257">
        <v>215784</v>
      </c>
      <c r="I257">
        <v>47216</v>
      </c>
    </row>
    <row r="258" spans="1:9">
      <c r="A258" s="2">
        <v>45536</v>
      </c>
      <c r="B258">
        <v>2024</v>
      </c>
      <c r="C258" t="s">
        <v>17</v>
      </c>
      <c r="D258" t="s">
        <v>24</v>
      </c>
      <c r="E258" t="s">
        <v>28</v>
      </c>
      <c r="F258">
        <v>290</v>
      </c>
      <c r="G258">
        <v>607</v>
      </c>
      <c r="H258">
        <v>176030</v>
      </c>
      <c r="I258">
        <v>22741</v>
      </c>
    </row>
    <row r="259" spans="1:9">
      <c r="A259" s="2">
        <v>45536</v>
      </c>
      <c r="B259">
        <v>2024</v>
      </c>
      <c r="C259" t="s">
        <v>17</v>
      </c>
      <c r="D259" t="s">
        <v>24</v>
      </c>
      <c r="E259" t="s">
        <v>29</v>
      </c>
      <c r="F259">
        <v>92</v>
      </c>
      <c r="G259">
        <v>618</v>
      </c>
      <c r="H259">
        <v>56856</v>
      </c>
      <c r="I259">
        <v>9793</v>
      </c>
    </row>
    <row r="260" spans="1:9">
      <c r="A260" s="2">
        <v>45536</v>
      </c>
      <c r="B260">
        <v>2024</v>
      </c>
      <c r="C260" t="s">
        <v>17</v>
      </c>
      <c r="D260" t="s">
        <v>24</v>
      </c>
      <c r="E260" t="s">
        <v>30</v>
      </c>
      <c r="F260">
        <v>331</v>
      </c>
      <c r="G260">
        <v>598</v>
      </c>
      <c r="H260">
        <v>197938</v>
      </c>
      <c r="I260">
        <v>48410</v>
      </c>
    </row>
    <row r="261" spans="1:9">
      <c r="A261" s="2">
        <v>45536</v>
      </c>
      <c r="B261">
        <v>2024</v>
      </c>
      <c r="C261" t="s">
        <v>17</v>
      </c>
      <c r="D261" t="s">
        <v>24</v>
      </c>
      <c r="E261" t="s">
        <v>31</v>
      </c>
      <c r="F261">
        <v>281</v>
      </c>
      <c r="G261">
        <v>602</v>
      </c>
      <c r="H261">
        <v>169162</v>
      </c>
      <c r="I261">
        <v>29129</v>
      </c>
    </row>
    <row r="262" spans="1:9">
      <c r="A262" s="2">
        <v>45536</v>
      </c>
      <c r="B262">
        <v>2024</v>
      </c>
      <c r="C262" t="s">
        <v>17</v>
      </c>
      <c r="D262" t="s">
        <v>25</v>
      </c>
      <c r="E262" t="s">
        <v>27</v>
      </c>
      <c r="F262">
        <v>349</v>
      </c>
      <c r="G262">
        <v>274</v>
      </c>
      <c r="H262">
        <v>95626</v>
      </c>
      <c r="I262">
        <v>17912</v>
      </c>
    </row>
    <row r="263" spans="1:9">
      <c r="A263" s="2">
        <v>45536</v>
      </c>
      <c r="B263">
        <v>2024</v>
      </c>
      <c r="C263" t="s">
        <v>17</v>
      </c>
      <c r="D263" t="s">
        <v>25</v>
      </c>
      <c r="E263" t="s">
        <v>28</v>
      </c>
      <c r="F263">
        <v>422</v>
      </c>
      <c r="G263">
        <v>236</v>
      </c>
      <c r="H263">
        <v>99592</v>
      </c>
      <c r="I263">
        <v>19205</v>
      </c>
    </row>
    <row r="264" spans="1:9">
      <c r="A264" s="2">
        <v>45536</v>
      </c>
      <c r="B264">
        <v>2024</v>
      </c>
      <c r="C264" t="s">
        <v>17</v>
      </c>
      <c r="D264" t="s">
        <v>25</v>
      </c>
      <c r="E264" t="s">
        <v>29</v>
      </c>
      <c r="F264">
        <v>98</v>
      </c>
      <c r="G264">
        <v>225</v>
      </c>
      <c r="H264">
        <v>22050</v>
      </c>
      <c r="I264">
        <v>3002</v>
      </c>
    </row>
    <row r="265" spans="1:9">
      <c r="A265" s="2">
        <v>45536</v>
      </c>
      <c r="B265">
        <v>2024</v>
      </c>
      <c r="C265" t="s">
        <v>17</v>
      </c>
      <c r="D265" t="s">
        <v>25</v>
      </c>
      <c r="E265" t="s">
        <v>30</v>
      </c>
      <c r="F265">
        <v>313</v>
      </c>
      <c r="G265">
        <v>237</v>
      </c>
      <c r="H265">
        <v>74181</v>
      </c>
      <c r="I265">
        <v>8137</v>
      </c>
    </row>
    <row r="266" spans="1:9">
      <c r="A266" s="2">
        <v>45536</v>
      </c>
      <c r="B266">
        <v>2024</v>
      </c>
      <c r="C266" t="s">
        <v>17</v>
      </c>
      <c r="D266" t="s">
        <v>25</v>
      </c>
      <c r="E266" t="s">
        <v>31</v>
      </c>
      <c r="F266">
        <v>256</v>
      </c>
      <c r="G266">
        <v>255</v>
      </c>
      <c r="H266">
        <v>65280</v>
      </c>
      <c r="I266">
        <v>7602</v>
      </c>
    </row>
    <row r="267" spans="1:9">
      <c r="A267" s="2">
        <v>45536</v>
      </c>
      <c r="B267">
        <v>2024</v>
      </c>
      <c r="C267" t="s">
        <v>17</v>
      </c>
      <c r="D267" t="s">
        <v>26</v>
      </c>
      <c r="E267" t="s">
        <v>27</v>
      </c>
      <c r="F267">
        <v>287</v>
      </c>
      <c r="G267">
        <v>371</v>
      </c>
      <c r="H267">
        <v>106477</v>
      </c>
      <c r="I267">
        <v>18622</v>
      </c>
    </row>
    <row r="268" spans="1:9">
      <c r="A268" s="2">
        <v>45536</v>
      </c>
      <c r="B268">
        <v>2024</v>
      </c>
      <c r="C268" t="s">
        <v>17</v>
      </c>
      <c r="D268" t="s">
        <v>26</v>
      </c>
      <c r="E268" t="s">
        <v>28</v>
      </c>
      <c r="F268">
        <v>360</v>
      </c>
      <c r="G268">
        <v>323</v>
      </c>
      <c r="H268">
        <v>116280</v>
      </c>
      <c r="I268">
        <v>20143</v>
      </c>
    </row>
    <row r="269" spans="1:9">
      <c r="A269" s="2">
        <v>45536</v>
      </c>
      <c r="B269">
        <v>2024</v>
      </c>
      <c r="C269" t="s">
        <v>17</v>
      </c>
      <c r="D269" t="s">
        <v>26</v>
      </c>
      <c r="E269" t="s">
        <v>29</v>
      </c>
      <c r="F269">
        <v>295</v>
      </c>
      <c r="G269">
        <v>390</v>
      </c>
      <c r="H269">
        <v>115050</v>
      </c>
      <c r="I269">
        <v>15706</v>
      </c>
    </row>
    <row r="270" spans="1:9">
      <c r="A270" s="2">
        <v>45536</v>
      </c>
      <c r="B270">
        <v>2024</v>
      </c>
      <c r="C270" t="s">
        <v>17</v>
      </c>
      <c r="D270" t="s">
        <v>26</v>
      </c>
      <c r="E270" t="s">
        <v>30</v>
      </c>
      <c r="F270">
        <v>173</v>
      </c>
      <c r="G270">
        <v>356</v>
      </c>
      <c r="H270">
        <v>61588</v>
      </c>
      <c r="I270">
        <v>9631</v>
      </c>
    </row>
    <row r="271" spans="1:9">
      <c r="A271" s="2">
        <v>45536</v>
      </c>
      <c r="B271">
        <v>2024</v>
      </c>
      <c r="C271" t="s">
        <v>17</v>
      </c>
      <c r="D271" t="s">
        <v>26</v>
      </c>
      <c r="E271" t="s">
        <v>31</v>
      </c>
      <c r="F271">
        <v>130</v>
      </c>
      <c r="G271">
        <v>383</v>
      </c>
      <c r="H271">
        <v>49790</v>
      </c>
      <c r="I271">
        <v>11641</v>
      </c>
    </row>
    <row r="272" spans="1:9">
      <c r="A272" s="2">
        <v>45566</v>
      </c>
      <c r="B272">
        <v>2024</v>
      </c>
      <c r="C272" t="s">
        <v>18</v>
      </c>
      <c r="D272" t="s">
        <v>21</v>
      </c>
      <c r="E272" t="s">
        <v>27</v>
      </c>
      <c r="F272">
        <v>199</v>
      </c>
      <c r="G272">
        <v>1110</v>
      </c>
      <c r="H272">
        <v>220890</v>
      </c>
      <c r="I272">
        <v>43913</v>
      </c>
    </row>
    <row r="273" spans="1:9">
      <c r="A273" s="2">
        <v>45566</v>
      </c>
      <c r="B273">
        <v>2024</v>
      </c>
      <c r="C273" t="s">
        <v>18</v>
      </c>
      <c r="D273" t="s">
        <v>21</v>
      </c>
      <c r="E273" t="s">
        <v>28</v>
      </c>
      <c r="F273">
        <v>225</v>
      </c>
      <c r="G273">
        <v>1322</v>
      </c>
      <c r="H273">
        <v>297450</v>
      </c>
      <c r="I273">
        <v>33154</v>
      </c>
    </row>
    <row r="274" spans="1:9">
      <c r="A274" s="2">
        <v>45566</v>
      </c>
      <c r="B274">
        <v>2024</v>
      </c>
      <c r="C274" t="s">
        <v>18</v>
      </c>
      <c r="D274" t="s">
        <v>21</v>
      </c>
      <c r="E274" t="s">
        <v>29</v>
      </c>
      <c r="F274">
        <v>190</v>
      </c>
      <c r="G274">
        <v>1332</v>
      </c>
      <c r="H274">
        <v>253080</v>
      </c>
      <c r="I274">
        <v>26766</v>
      </c>
    </row>
    <row r="275" spans="1:9">
      <c r="A275" s="2">
        <v>45566</v>
      </c>
      <c r="B275">
        <v>2024</v>
      </c>
      <c r="C275" t="s">
        <v>18</v>
      </c>
      <c r="D275" t="s">
        <v>21</v>
      </c>
      <c r="E275" t="s">
        <v>30</v>
      </c>
      <c r="F275">
        <v>336</v>
      </c>
      <c r="G275">
        <v>1218</v>
      </c>
      <c r="H275">
        <v>409248</v>
      </c>
      <c r="I275">
        <v>80040</v>
      </c>
    </row>
    <row r="276" spans="1:9">
      <c r="A276" s="2">
        <v>45566</v>
      </c>
      <c r="B276">
        <v>2024</v>
      </c>
      <c r="C276" t="s">
        <v>18</v>
      </c>
      <c r="D276" t="s">
        <v>21</v>
      </c>
      <c r="E276" t="s">
        <v>31</v>
      </c>
      <c r="F276">
        <v>399</v>
      </c>
      <c r="G276">
        <v>1195</v>
      </c>
      <c r="H276">
        <v>476805</v>
      </c>
      <c r="I276">
        <v>79873</v>
      </c>
    </row>
    <row r="277" spans="1:9">
      <c r="A277" s="2">
        <v>45566</v>
      </c>
      <c r="B277">
        <v>2024</v>
      </c>
      <c r="C277" t="s">
        <v>18</v>
      </c>
      <c r="D277" t="s">
        <v>22</v>
      </c>
      <c r="E277" t="s">
        <v>27</v>
      </c>
      <c r="F277">
        <v>171</v>
      </c>
      <c r="G277">
        <v>897</v>
      </c>
      <c r="H277">
        <v>153387</v>
      </c>
      <c r="I277">
        <v>25706</v>
      </c>
    </row>
    <row r="278" spans="1:9">
      <c r="A278" s="2">
        <v>45566</v>
      </c>
      <c r="B278">
        <v>2024</v>
      </c>
      <c r="C278" t="s">
        <v>18</v>
      </c>
      <c r="D278" t="s">
        <v>22</v>
      </c>
      <c r="E278" t="s">
        <v>28</v>
      </c>
      <c r="F278">
        <v>272</v>
      </c>
      <c r="G278">
        <v>750</v>
      </c>
      <c r="H278">
        <v>204000</v>
      </c>
      <c r="I278">
        <v>42965</v>
      </c>
    </row>
    <row r="279" spans="1:9">
      <c r="A279" s="2">
        <v>45566</v>
      </c>
      <c r="B279">
        <v>2024</v>
      </c>
      <c r="C279" t="s">
        <v>18</v>
      </c>
      <c r="D279" t="s">
        <v>22</v>
      </c>
      <c r="E279" t="s">
        <v>29</v>
      </c>
      <c r="F279">
        <v>179</v>
      </c>
      <c r="G279">
        <v>856</v>
      </c>
      <c r="H279">
        <v>153224</v>
      </c>
      <c r="I279">
        <v>16280</v>
      </c>
    </row>
    <row r="280" spans="1:9">
      <c r="A280" s="2">
        <v>45566</v>
      </c>
      <c r="B280">
        <v>2024</v>
      </c>
      <c r="C280" t="s">
        <v>18</v>
      </c>
      <c r="D280" t="s">
        <v>22</v>
      </c>
      <c r="E280" t="s">
        <v>30</v>
      </c>
      <c r="F280">
        <v>179</v>
      </c>
      <c r="G280">
        <v>863</v>
      </c>
      <c r="H280">
        <v>154477</v>
      </c>
      <c r="I280">
        <v>17118</v>
      </c>
    </row>
    <row r="281" spans="1:9">
      <c r="A281" s="2">
        <v>45566</v>
      </c>
      <c r="B281">
        <v>2024</v>
      </c>
      <c r="C281" t="s">
        <v>18</v>
      </c>
      <c r="D281" t="s">
        <v>22</v>
      </c>
      <c r="E281" t="s">
        <v>31</v>
      </c>
      <c r="F281">
        <v>250</v>
      </c>
      <c r="G281">
        <v>727</v>
      </c>
      <c r="H281">
        <v>181750</v>
      </c>
      <c r="I281">
        <v>32040</v>
      </c>
    </row>
    <row r="282" spans="1:9">
      <c r="A282" s="2">
        <v>45566</v>
      </c>
      <c r="B282">
        <v>2024</v>
      </c>
      <c r="C282" t="s">
        <v>18</v>
      </c>
      <c r="D282" t="s">
        <v>23</v>
      </c>
      <c r="E282" t="s">
        <v>27</v>
      </c>
      <c r="F282">
        <v>336</v>
      </c>
      <c r="G282">
        <v>118</v>
      </c>
      <c r="H282">
        <v>39648</v>
      </c>
      <c r="I282">
        <v>5728</v>
      </c>
    </row>
    <row r="283" spans="1:9">
      <c r="A283" s="2">
        <v>45566</v>
      </c>
      <c r="B283">
        <v>2024</v>
      </c>
      <c r="C283" t="s">
        <v>18</v>
      </c>
      <c r="D283" t="s">
        <v>23</v>
      </c>
      <c r="E283" t="s">
        <v>28</v>
      </c>
      <c r="F283">
        <v>236</v>
      </c>
      <c r="G283">
        <v>137</v>
      </c>
      <c r="H283">
        <v>32332</v>
      </c>
      <c r="I283">
        <v>7803</v>
      </c>
    </row>
    <row r="284" spans="1:9">
      <c r="A284" s="2">
        <v>45566</v>
      </c>
      <c r="B284">
        <v>2024</v>
      </c>
      <c r="C284" t="s">
        <v>18</v>
      </c>
      <c r="D284" t="s">
        <v>23</v>
      </c>
      <c r="E284" t="s">
        <v>29</v>
      </c>
      <c r="F284">
        <v>115</v>
      </c>
      <c r="G284">
        <v>118</v>
      </c>
      <c r="H284">
        <v>13570</v>
      </c>
      <c r="I284">
        <v>2195</v>
      </c>
    </row>
    <row r="285" spans="1:9">
      <c r="A285" s="2">
        <v>45566</v>
      </c>
      <c r="B285">
        <v>2024</v>
      </c>
      <c r="C285" t="s">
        <v>18</v>
      </c>
      <c r="D285" t="s">
        <v>23</v>
      </c>
      <c r="E285" t="s">
        <v>30</v>
      </c>
      <c r="F285">
        <v>368</v>
      </c>
      <c r="G285">
        <v>127</v>
      </c>
      <c r="H285">
        <v>46736</v>
      </c>
      <c r="I285">
        <v>10032</v>
      </c>
    </row>
    <row r="286" spans="1:9">
      <c r="A286" s="2">
        <v>45566</v>
      </c>
      <c r="B286">
        <v>2024</v>
      </c>
      <c r="C286" t="s">
        <v>18</v>
      </c>
      <c r="D286" t="s">
        <v>23</v>
      </c>
      <c r="E286" t="s">
        <v>31</v>
      </c>
      <c r="F286">
        <v>432</v>
      </c>
      <c r="G286">
        <v>120</v>
      </c>
      <c r="H286">
        <v>51840</v>
      </c>
      <c r="I286">
        <v>5826</v>
      </c>
    </row>
    <row r="287" spans="1:9">
      <c r="A287" s="2">
        <v>45566</v>
      </c>
      <c r="B287">
        <v>2024</v>
      </c>
      <c r="C287" t="s">
        <v>18</v>
      </c>
      <c r="D287" t="s">
        <v>24</v>
      </c>
      <c r="E287" t="s">
        <v>27</v>
      </c>
      <c r="F287">
        <v>323</v>
      </c>
      <c r="G287">
        <v>674</v>
      </c>
      <c r="H287">
        <v>217702</v>
      </c>
      <c r="I287">
        <v>47322</v>
      </c>
    </row>
    <row r="288" spans="1:9">
      <c r="A288" s="2">
        <v>45566</v>
      </c>
      <c r="B288">
        <v>2024</v>
      </c>
      <c r="C288" t="s">
        <v>18</v>
      </c>
      <c r="D288" t="s">
        <v>24</v>
      </c>
      <c r="E288" t="s">
        <v>28</v>
      </c>
      <c r="F288">
        <v>138</v>
      </c>
      <c r="G288">
        <v>578</v>
      </c>
      <c r="H288">
        <v>79764</v>
      </c>
      <c r="I288">
        <v>11095</v>
      </c>
    </row>
    <row r="289" spans="1:9">
      <c r="A289" s="2">
        <v>45566</v>
      </c>
      <c r="B289">
        <v>2024</v>
      </c>
      <c r="C289" t="s">
        <v>18</v>
      </c>
      <c r="D289" t="s">
        <v>24</v>
      </c>
      <c r="E289" t="s">
        <v>29</v>
      </c>
      <c r="F289">
        <v>199</v>
      </c>
      <c r="G289">
        <v>636</v>
      </c>
      <c r="H289">
        <v>126564</v>
      </c>
      <c r="I289">
        <v>22723</v>
      </c>
    </row>
    <row r="290" spans="1:9">
      <c r="A290" s="2">
        <v>45566</v>
      </c>
      <c r="B290">
        <v>2024</v>
      </c>
      <c r="C290" t="s">
        <v>18</v>
      </c>
      <c r="D290" t="s">
        <v>24</v>
      </c>
      <c r="E290" t="s">
        <v>30</v>
      </c>
      <c r="F290">
        <v>291</v>
      </c>
      <c r="G290">
        <v>674</v>
      </c>
      <c r="H290">
        <v>196134</v>
      </c>
      <c r="I290">
        <v>29093</v>
      </c>
    </row>
    <row r="291" spans="1:9">
      <c r="A291" s="2">
        <v>45566</v>
      </c>
      <c r="B291">
        <v>2024</v>
      </c>
      <c r="C291" t="s">
        <v>18</v>
      </c>
      <c r="D291" t="s">
        <v>24</v>
      </c>
      <c r="E291" t="s">
        <v>31</v>
      </c>
      <c r="F291">
        <v>263</v>
      </c>
      <c r="G291">
        <v>583</v>
      </c>
      <c r="H291">
        <v>153329</v>
      </c>
      <c r="I291">
        <v>37871</v>
      </c>
    </row>
    <row r="292" spans="1:9">
      <c r="A292" s="2">
        <v>45566</v>
      </c>
      <c r="B292">
        <v>2024</v>
      </c>
      <c r="C292" t="s">
        <v>18</v>
      </c>
      <c r="D292" t="s">
        <v>25</v>
      </c>
      <c r="E292" t="s">
        <v>27</v>
      </c>
      <c r="F292">
        <v>376</v>
      </c>
      <c r="G292">
        <v>261</v>
      </c>
      <c r="H292">
        <v>98136</v>
      </c>
      <c r="I292">
        <v>20825</v>
      </c>
    </row>
    <row r="293" spans="1:9">
      <c r="A293" s="2">
        <v>45566</v>
      </c>
      <c r="B293">
        <v>2024</v>
      </c>
      <c r="C293" t="s">
        <v>18</v>
      </c>
      <c r="D293" t="s">
        <v>25</v>
      </c>
      <c r="E293" t="s">
        <v>28</v>
      </c>
      <c r="F293">
        <v>397</v>
      </c>
      <c r="G293">
        <v>263</v>
      </c>
      <c r="H293">
        <v>104411</v>
      </c>
      <c r="I293">
        <v>12894</v>
      </c>
    </row>
    <row r="294" spans="1:9">
      <c r="A294" s="2">
        <v>45566</v>
      </c>
      <c r="B294">
        <v>2024</v>
      </c>
      <c r="C294" t="s">
        <v>18</v>
      </c>
      <c r="D294" t="s">
        <v>25</v>
      </c>
      <c r="E294" t="s">
        <v>29</v>
      </c>
      <c r="F294">
        <v>96</v>
      </c>
      <c r="G294">
        <v>246</v>
      </c>
      <c r="H294">
        <v>23616</v>
      </c>
      <c r="I294">
        <v>5649</v>
      </c>
    </row>
    <row r="295" spans="1:9">
      <c r="A295" s="2">
        <v>45566</v>
      </c>
      <c r="B295">
        <v>2024</v>
      </c>
      <c r="C295" t="s">
        <v>18</v>
      </c>
      <c r="D295" t="s">
        <v>25</v>
      </c>
      <c r="E295" t="s">
        <v>30</v>
      </c>
      <c r="F295">
        <v>283</v>
      </c>
      <c r="G295">
        <v>230</v>
      </c>
      <c r="H295">
        <v>65090</v>
      </c>
      <c r="I295">
        <v>10180</v>
      </c>
    </row>
    <row r="296" spans="1:9">
      <c r="A296" s="2">
        <v>45566</v>
      </c>
      <c r="B296">
        <v>2024</v>
      </c>
      <c r="C296" t="s">
        <v>18</v>
      </c>
      <c r="D296" t="s">
        <v>25</v>
      </c>
      <c r="E296" t="s">
        <v>31</v>
      </c>
      <c r="F296">
        <v>219</v>
      </c>
      <c r="G296">
        <v>249</v>
      </c>
      <c r="H296">
        <v>54531</v>
      </c>
      <c r="I296">
        <v>6791</v>
      </c>
    </row>
    <row r="297" spans="1:9">
      <c r="A297" s="2">
        <v>45566</v>
      </c>
      <c r="B297">
        <v>2024</v>
      </c>
      <c r="C297" t="s">
        <v>18</v>
      </c>
      <c r="D297" t="s">
        <v>26</v>
      </c>
      <c r="E297" t="s">
        <v>27</v>
      </c>
      <c r="F297">
        <v>316</v>
      </c>
      <c r="G297">
        <v>374</v>
      </c>
      <c r="H297">
        <v>118184</v>
      </c>
      <c r="I297">
        <v>20612</v>
      </c>
    </row>
    <row r="298" spans="1:9">
      <c r="A298" s="2">
        <v>45566</v>
      </c>
      <c r="B298">
        <v>2024</v>
      </c>
      <c r="C298" t="s">
        <v>18</v>
      </c>
      <c r="D298" t="s">
        <v>26</v>
      </c>
      <c r="E298" t="s">
        <v>28</v>
      </c>
      <c r="F298">
        <v>207</v>
      </c>
      <c r="G298">
        <v>371</v>
      </c>
      <c r="H298">
        <v>76797</v>
      </c>
      <c r="I298">
        <v>10973</v>
      </c>
    </row>
    <row r="299" spans="1:9">
      <c r="A299" s="2">
        <v>45566</v>
      </c>
      <c r="B299">
        <v>2024</v>
      </c>
      <c r="C299" t="s">
        <v>18</v>
      </c>
      <c r="D299" t="s">
        <v>26</v>
      </c>
      <c r="E299" t="s">
        <v>29</v>
      </c>
      <c r="F299">
        <v>120</v>
      </c>
      <c r="G299">
        <v>342</v>
      </c>
      <c r="H299">
        <v>41040</v>
      </c>
      <c r="I299">
        <v>9516</v>
      </c>
    </row>
    <row r="300" spans="1:9">
      <c r="A300" s="2">
        <v>45566</v>
      </c>
      <c r="B300">
        <v>2024</v>
      </c>
      <c r="C300" t="s">
        <v>18</v>
      </c>
      <c r="D300" t="s">
        <v>26</v>
      </c>
      <c r="E300" t="s">
        <v>30</v>
      </c>
      <c r="F300">
        <v>375</v>
      </c>
      <c r="G300">
        <v>395</v>
      </c>
      <c r="H300">
        <v>148125</v>
      </c>
      <c r="I300">
        <v>20416</v>
      </c>
    </row>
    <row r="301" spans="1:9">
      <c r="A301" s="2">
        <v>45566</v>
      </c>
      <c r="B301">
        <v>2024</v>
      </c>
      <c r="C301" t="s">
        <v>18</v>
      </c>
      <c r="D301" t="s">
        <v>26</v>
      </c>
      <c r="E301" t="s">
        <v>31</v>
      </c>
      <c r="F301">
        <v>246</v>
      </c>
      <c r="G301">
        <v>400</v>
      </c>
      <c r="H301">
        <v>98400</v>
      </c>
      <c r="I301">
        <v>20883</v>
      </c>
    </row>
    <row r="302" spans="1:9">
      <c r="A302" s="2">
        <v>45597</v>
      </c>
      <c r="B302">
        <v>2024</v>
      </c>
      <c r="C302" t="s">
        <v>19</v>
      </c>
      <c r="D302" t="s">
        <v>21</v>
      </c>
      <c r="E302" t="s">
        <v>27</v>
      </c>
      <c r="F302">
        <v>349</v>
      </c>
      <c r="G302">
        <v>1312</v>
      </c>
      <c r="H302">
        <v>457888</v>
      </c>
      <c r="I302">
        <v>90856</v>
      </c>
    </row>
    <row r="303" spans="1:9">
      <c r="A303" s="2">
        <v>45597</v>
      </c>
      <c r="B303">
        <v>2024</v>
      </c>
      <c r="C303" t="s">
        <v>19</v>
      </c>
      <c r="D303" t="s">
        <v>21</v>
      </c>
      <c r="E303" t="s">
        <v>28</v>
      </c>
      <c r="F303">
        <v>311</v>
      </c>
      <c r="G303">
        <v>1176</v>
      </c>
      <c r="H303">
        <v>365736</v>
      </c>
      <c r="I303">
        <v>77893</v>
      </c>
    </row>
    <row r="304" spans="1:9">
      <c r="A304" s="2">
        <v>45597</v>
      </c>
      <c r="B304">
        <v>2024</v>
      </c>
      <c r="C304" t="s">
        <v>19</v>
      </c>
      <c r="D304" t="s">
        <v>21</v>
      </c>
      <c r="E304" t="s">
        <v>29</v>
      </c>
      <c r="F304">
        <v>111</v>
      </c>
      <c r="G304">
        <v>1241</v>
      </c>
      <c r="H304">
        <v>137751</v>
      </c>
      <c r="I304">
        <v>28816</v>
      </c>
    </row>
    <row r="305" spans="1:9">
      <c r="A305" s="2">
        <v>45597</v>
      </c>
      <c r="B305">
        <v>2024</v>
      </c>
      <c r="C305" t="s">
        <v>19</v>
      </c>
      <c r="D305" t="s">
        <v>21</v>
      </c>
      <c r="E305" t="s">
        <v>30</v>
      </c>
      <c r="F305">
        <v>371</v>
      </c>
      <c r="G305">
        <v>1119</v>
      </c>
      <c r="H305">
        <v>415149</v>
      </c>
      <c r="I305">
        <v>86723</v>
      </c>
    </row>
    <row r="306" spans="1:9">
      <c r="A306" s="2">
        <v>45597</v>
      </c>
      <c r="B306">
        <v>2024</v>
      </c>
      <c r="C306" t="s">
        <v>19</v>
      </c>
      <c r="D306" t="s">
        <v>21</v>
      </c>
      <c r="E306" t="s">
        <v>31</v>
      </c>
      <c r="F306">
        <v>399</v>
      </c>
      <c r="G306">
        <v>1369</v>
      </c>
      <c r="H306">
        <v>546231</v>
      </c>
      <c r="I306">
        <v>94639</v>
      </c>
    </row>
    <row r="307" spans="1:9">
      <c r="A307" s="2">
        <v>45597</v>
      </c>
      <c r="B307">
        <v>2024</v>
      </c>
      <c r="C307" t="s">
        <v>19</v>
      </c>
      <c r="D307" t="s">
        <v>22</v>
      </c>
      <c r="E307" t="s">
        <v>27</v>
      </c>
      <c r="F307">
        <v>184</v>
      </c>
      <c r="G307">
        <v>788</v>
      </c>
      <c r="H307">
        <v>144992</v>
      </c>
      <c r="I307">
        <v>23490</v>
      </c>
    </row>
    <row r="308" spans="1:9">
      <c r="A308" s="2">
        <v>45597</v>
      </c>
      <c r="B308">
        <v>2024</v>
      </c>
      <c r="C308" t="s">
        <v>19</v>
      </c>
      <c r="D308" t="s">
        <v>22</v>
      </c>
      <c r="E308" t="s">
        <v>28</v>
      </c>
      <c r="F308">
        <v>295</v>
      </c>
      <c r="G308">
        <v>868</v>
      </c>
      <c r="H308">
        <v>256060</v>
      </c>
      <c r="I308">
        <v>49110</v>
      </c>
    </row>
    <row r="309" spans="1:9">
      <c r="A309" s="2">
        <v>45597</v>
      </c>
      <c r="B309">
        <v>2024</v>
      </c>
      <c r="C309" t="s">
        <v>19</v>
      </c>
      <c r="D309" t="s">
        <v>22</v>
      </c>
      <c r="E309" t="s">
        <v>29</v>
      </c>
      <c r="F309">
        <v>217</v>
      </c>
      <c r="G309">
        <v>833</v>
      </c>
      <c r="H309">
        <v>180761</v>
      </c>
      <c r="I309">
        <v>36754</v>
      </c>
    </row>
    <row r="310" spans="1:9">
      <c r="A310" s="2">
        <v>45597</v>
      </c>
      <c r="B310">
        <v>2024</v>
      </c>
      <c r="C310" t="s">
        <v>19</v>
      </c>
      <c r="D310" t="s">
        <v>22</v>
      </c>
      <c r="E310" t="s">
        <v>30</v>
      </c>
      <c r="F310">
        <v>412</v>
      </c>
      <c r="G310">
        <v>835</v>
      </c>
      <c r="H310">
        <v>344020</v>
      </c>
      <c r="I310">
        <v>79664</v>
      </c>
    </row>
    <row r="311" spans="1:9">
      <c r="A311" s="2">
        <v>45597</v>
      </c>
      <c r="B311">
        <v>2024</v>
      </c>
      <c r="C311" t="s">
        <v>19</v>
      </c>
      <c r="D311" t="s">
        <v>22</v>
      </c>
      <c r="E311" t="s">
        <v>31</v>
      </c>
      <c r="F311">
        <v>339</v>
      </c>
      <c r="G311">
        <v>752</v>
      </c>
      <c r="H311">
        <v>254928</v>
      </c>
      <c r="I311">
        <v>43142</v>
      </c>
    </row>
    <row r="312" spans="1:9">
      <c r="A312" s="2">
        <v>45597</v>
      </c>
      <c r="B312">
        <v>2024</v>
      </c>
      <c r="C312" t="s">
        <v>19</v>
      </c>
      <c r="D312" t="s">
        <v>23</v>
      </c>
      <c r="E312" t="s">
        <v>27</v>
      </c>
      <c r="F312">
        <v>246</v>
      </c>
      <c r="G312">
        <v>132</v>
      </c>
      <c r="H312">
        <v>32472</v>
      </c>
      <c r="I312">
        <v>6859</v>
      </c>
    </row>
    <row r="313" spans="1:9">
      <c r="A313" s="2">
        <v>45597</v>
      </c>
      <c r="B313">
        <v>2024</v>
      </c>
      <c r="C313" t="s">
        <v>19</v>
      </c>
      <c r="D313" t="s">
        <v>23</v>
      </c>
      <c r="E313" t="s">
        <v>28</v>
      </c>
      <c r="F313">
        <v>90</v>
      </c>
      <c r="G313">
        <v>137</v>
      </c>
      <c r="H313">
        <v>12330</v>
      </c>
      <c r="I313">
        <v>1416</v>
      </c>
    </row>
    <row r="314" spans="1:9">
      <c r="A314" s="2">
        <v>45597</v>
      </c>
      <c r="B314">
        <v>2024</v>
      </c>
      <c r="C314" t="s">
        <v>19</v>
      </c>
      <c r="D314" t="s">
        <v>23</v>
      </c>
      <c r="E314" t="s">
        <v>29</v>
      </c>
      <c r="F314">
        <v>334</v>
      </c>
      <c r="G314">
        <v>134</v>
      </c>
      <c r="H314">
        <v>44756</v>
      </c>
      <c r="I314">
        <v>8890</v>
      </c>
    </row>
    <row r="315" spans="1:9">
      <c r="A315" s="2">
        <v>45597</v>
      </c>
      <c r="B315">
        <v>2024</v>
      </c>
      <c r="C315" t="s">
        <v>19</v>
      </c>
      <c r="D315" t="s">
        <v>23</v>
      </c>
      <c r="E315" t="s">
        <v>30</v>
      </c>
      <c r="F315">
        <v>98</v>
      </c>
      <c r="G315">
        <v>130</v>
      </c>
      <c r="H315">
        <v>12740</v>
      </c>
      <c r="I315">
        <v>2831</v>
      </c>
    </row>
    <row r="316" spans="1:9">
      <c r="A316" s="2">
        <v>45597</v>
      </c>
      <c r="B316">
        <v>2024</v>
      </c>
      <c r="C316" t="s">
        <v>19</v>
      </c>
      <c r="D316" t="s">
        <v>23</v>
      </c>
      <c r="E316" t="s">
        <v>31</v>
      </c>
      <c r="F316">
        <v>328</v>
      </c>
      <c r="G316">
        <v>113</v>
      </c>
      <c r="H316">
        <v>37064</v>
      </c>
      <c r="I316">
        <v>5682</v>
      </c>
    </row>
    <row r="317" spans="1:9">
      <c r="A317" s="2">
        <v>45597</v>
      </c>
      <c r="B317">
        <v>2024</v>
      </c>
      <c r="C317" t="s">
        <v>19</v>
      </c>
      <c r="D317" t="s">
        <v>24</v>
      </c>
      <c r="E317" t="s">
        <v>27</v>
      </c>
      <c r="F317">
        <v>101</v>
      </c>
      <c r="G317">
        <v>620</v>
      </c>
      <c r="H317">
        <v>62620</v>
      </c>
      <c r="I317">
        <v>11185</v>
      </c>
    </row>
    <row r="318" spans="1:9">
      <c r="A318" s="2">
        <v>45597</v>
      </c>
      <c r="B318">
        <v>2024</v>
      </c>
      <c r="C318" t="s">
        <v>19</v>
      </c>
      <c r="D318" t="s">
        <v>24</v>
      </c>
      <c r="E318" t="s">
        <v>28</v>
      </c>
      <c r="F318">
        <v>345</v>
      </c>
      <c r="G318">
        <v>654</v>
      </c>
      <c r="H318">
        <v>225630</v>
      </c>
      <c r="I318">
        <v>23758</v>
      </c>
    </row>
    <row r="319" spans="1:9">
      <c r="A319" s="2">
        <v>45597</v>
      </c>
      <c r="B319">
        <v>2024</v>
      </c>
      <c r="C319" t="s">
        <v>19</v>
      </c>
      <c r="D319" t="s">
        <v>24</v>
      </c>
      <c r="E319" t="s">
        <v>29</v>
      </c>
      <c r="F319">
        <v>317</v>
      </c>
      <c r="G319">
        <v>541</v>
      </c>
      <c r="H319">
        <v>171497</v>
      </c>
      <c r="I319">
        <v>36431</v>
      </c>
    </row>
    <row r="320" spans="1:9">
      <c r="A320" s="2">
        <v>45597</v>
      </c>
      <c r="B320">
        <v>2024</v>
      </c>
      <c r="C320" t="s">
        <v>19</v>
      </c>
      <c r="D320" t="s">
        <v>24</v>
      </c>
      <c r="E320" t="s">
        <v>30</v>
      </c>
      <c r="F320">
        <v>109</v>
      </c>
      <c r="G320">
        <v>589</v>
      </c>
      <c r="H320">
        <v>64201</v>
      </c>
      <c r="I320">
        <v>7853</v>
      </c>
    </row>
    <row r="321" spans="1:9">
      <c r="A321" s="2">
        <v>45597</v>
      </c>
      <c r="B321">
        <v>2024</v>
      </c>
      <c r="C321" t="s">
        <v>19</v>
      </c>
      <c r="D321" t="s">
        <v>24</v>
      </c>
      <c r="E321" t="s">
        <v>31</v>
      </c>
      <c r="F321">
        <v>164</v>
      </c>
      <c r="G321">
        <v>671</v>
      </c>
      <c r="H321">
        <v>110044</v>
      </c>
      <c r="I321">
        <v>27450</v>
      </c>
    </row>
    <row r="322" spans="1:9">
      <c r="A322" s="2">
        <v>45597</v>
      </c>
      <c r="B322">
        <v>2024</v>
      </c>
      <c r="C322" t="s">
        <v>19</v>
      </c>
      <c r="D322" t="s">
        <v>25</v>
      </c>
      <c r="E322" t="s">
        <v>27</v>
      </c>
      <c r="F322">
        <v>232</v>
      </c>
      <c r="G322">
        <v>249</v>
      </c>
      <c r="H322">
        <v>57768</v>
      </c>
      <c r="I322">
        <v>11351</v>
      </c>
    </row>
    <row r="323" spans="1:9">
      <c r="A323" s="2">
        <v>45597</v>
      </c>
      <c r="B323">
        <v>2024</v>
      </c>
      <c r="C323" t="s">
        <v>19</v>
      </c>
      <c r="D323" t="s">
        <v>25</v>
      </c>
      <c r="E323" t="s">
        <v>28</v>
      </c>
      <c r="F323">
        <v>113</v>
      </c>
      <c r="G323">
        <v>238</v>
      </c>
      <c r="H323">
        <v>26894</v>
      </c>
      <c r="I323">
        <v>3245</v>
      </c>
    </row>
    <row r="324" spans="1:9">
      <c r="A324" s="2">
        <v>45597</v>
      </c>
      <c r="B324">
        <v>2024</v>
      </c>
      <c r="C324" t="s">
        <v>19</v>
      </c>
      <c r="D324" t="s">
        <v>25</v>
      </c>
      <c r="E324" t="s">
        <v>29</v>
      </c>
      <c r="F324">
        <v>341</v>
      </c>
      <c r="G324">
        <v>250</v>
      </c>
      <c r="H324">
        <v>85250</v>
      </c>
      <c r="I324">
        <v>17420</v>
      </c>
    </row>
    <row r="325" spans="1:9">
      <c r="A325" s="2">
        <v>45597</v>
      </c>
      <c r="B325">
        <v>2024</v>
      </c>
      <c r="C325" t="s">
        <v>19</v>
      </c>
      <c r="D325" t="s">
        <v>25</v>
      </c>
      <c r="E325" t="s">
        <v>30</v>
      </c>
      <c r="F325">
        <v>310</v>
      </c>
      <c r="G325">
        <v>263</v>
      </c>
      <c r="H325">
        <v>81530</v>
      </c>
      <c r="I325">
        <v>12500</v>
      </c>
    </row>
    <row r="326" spans="1:9">
      <c r="A326" s="2">
        <v>45597</v>
      </c>
      <c r="B326">
        <v>2024</v>
      </c>
      <c r="C326" t="s">
        <v>19</v>
      </c>
      <c r="D326" t="s">
        <v>25</v>
      </c>
      <c r="E326" t="s">
        <v>31</v>
      </c>
      <c r="F326">
        <v>150</v>
      </c>
      <c r="G326">
        <v>249</v>
      </c>
      <c r="H326">
        <v>37350</v>
      </c>
      <c r="I326">
        <v>5989</v>
      </c>
    </row>
    <row r="327" spans="1:9">
      <c r="A327" s="2">
        <v>45597</v>
      </c>
      <c r="B327">
        <v>2024</v>
      </c>
      <c r="C327" t="s">
        <v>19</v>
      </c>
      <c r="D327" t="s">
        <v>26</v>
      </c>
      <c r="E327" t="s">
        <v>27</v>
      </c>
      <c r="F327">
        <v>165</v>
      </c>
      <c r="G327">
        <v>357</v>
      </c>
      <c r="H327">
        <v>58905</v>
      </c>
      <c r="I327">
        <v>11565</v>
      </c>
    </row>
    <row r="328" spans="1:9">
      <c r="A328" s="2">
        <v>45597</v>
      </c>
      <c r="B328">
        <v>2024</v>
      </c>
      <c r="C328" t="s">
        <v>19</v>
      </c>
      <c r="D328" t="s">
        <v>26</v>
      </c>
      <c r="E328" t="s">
        <v>28</v>
      </c>
      <c r="F328">
        <v>325</v>
      </c>
      <c r="G328">
        <v>324</v>
      </c>
      <c r="H328">
        <v>105300</v>
      </c>
      <c r="I328">
        <v>14090</v>
      </c>
    </row>
    <row r="329" spans="1:9">
      <c r="A329" s="2">
        <v>45597</v>
      </c>
      <c r="B329">
        <v>2024</v>
      </c>
      <c r="C329" t="s">
        <v>19</v>
      </c>
      <c r="D329" t="s">
        <v>26</v>
      </c>
      <c r="E329" t="s">
        <v>29</v>
      </c>
      <c r="F329">
        <v>367</v>
      </c>
      <c r="G329">
        <v>357</v>
      </c>
      <c r="H329">
        <v>131019</v>
      </c>
      <c r="I329">
        <v>24881</v>
      </c>
    </row>
    <row r="330" spans="1:9">
      <c r="A330" s="2">
        <v>45597</v>
      </c>
      <c r="B330">
        <v>2024</v>
      </c>
      <c r="C330" t="s">
        <v>19</v>
      </c>
      <c r="D330" t="s">
        <v>26</v>
      </c>
      <c r="E330" t="s">
        <v>30</v>
      </c>
      <c r="F330">
        <v>262</v>
      </c>
      <c r="G330">
        <v>317</v>
      </c>
      <c r="H330">
        <v>83054</v>
      </c>
      <c r="I330">
        <v>12318</v>
      </c>
    </row>
    <row r="331" spans="1:9">
      <c r="A331" s="2">
        <v>45597</v>
      </c>
      <c r="B331">
        <v>2024</v>
      </c>
      <c r="C331" t="s">
        <v>19</v>
      </c>
      <c r="D331" t="s">
        <v>26</v>
      </c>
      <c r="E331" t="s">
        <v>31</v>
      </c>
      <c r="F331">
        <v>439</v>
      </c>
      <c r="G331">
        <v>321</v>
      </c>
      <c r="H331">
        <v>140919</v>
      </c>
      <c r="I331">
        <v>15329</v>
      </c>
    </row>
    <row r="332" spans="1:9">
      <c r="A332" s="2">
        <v>45627</v>
      </c>
      <c r="B332">
        <v>2024</v>
      </c>
      <c r="C332" t="s">
        <v>20</v>
      </c>
      <c r="D332" t="s">
        <v>21</v>
      </c>
      <c r="E332" t="s">
        <v>27</v>
      </c>
      <c r="F332">
        <v>212</v>
      </c>
      <c r="G332">
        <v>1303</v>
      </c>
      <c r="H332">
        <v>276236</v>
      </c>
      <c r="I332">
        <v>68311</v>
      </c>
    </row>
    <row r="333" spans="1:9">
      <c r="A333" s="2">
        <v>45627</v>
      </c>
      <c r="B333">
        <v>2024</v>
      </c>
      <c r="C333" t="s">
        <v>20</v>
      </c>
      <c r="D333" t="s">
        <v>21</v>
      </c>
      <c r="E333" t="s">
        <v>28</v>
      </c>
      <c r="F333">
        <v>221</v>
      </c>
      <c r="G333">
        <v>1316</v>
      </c>
      <c r="H333">
        <v>290836</v>
      </c>
      <c r="I333">
        <v>51649</v>
      </c>
    </row>
    <row r="334" spans="1:9">
      <c r="A334" s="2">
        <v>45627</v>
      </c>
      <c r="B334">
        <v>2024</v>
      </c>
      <c r="C334" t="s">
        <v>20</v>
      </c>
      <c r="D334" t="s">
        <v>21</v>
      </c>
      <c r="E334" t="s">
        <v>29</v>
      </c>
      <c r="F334">
        <v>285</v>
      </c>
      <c r="G334">
        <v>1124</v>
      </c>
      <c r="H334">
        <v>320340</v>
      </c>
      <c r="I334">
        <v>47803</v>
      </c>
    </row>
    <row r="335" spans="1:9">
      <c r="A335" s="2">
        <v>45627</v>
      </c>
      <c r="B335">
        <v>2024</v>
      </c>
      <c r="C335" t="s">
        <v>20</v>
      </c>
      <c r="D335" t="s">
        <v>21</v>
      </c>
      <c r="E335" t="s">
        <v>30</v>
      </c>
      <c r="F335">
        <v>296</v>
      </c>
      <c r="G335">
        <v>1150</v>
      </c>
      <c r="H335">
        <v>340400</v>
      </c>
      <c r="I335">
        <v>53004</v>
      </c>
    </row>
    <row r="336" spans="1:9">
      <c r="A336" s="2">
        <v>45627</v>
      </c>
      <c r="B336">
        <v>2024</v>
      </c>
      <c r="C336" t="s">
        <v>20</v>
      </c>
      <c r="D336" t="s">
        <v>21</v>
      </c>
      <c r="E336" t="s">
        <v>31</v>
      </c>
      <c r="F336">
        <v>217</v>
      </c>
      <c r="G336">
        <v>1259</v>
      </c>
      <c r="H336">
        <v>273203</v>
      </c>
      <c r="I336">
        <v>57468</v>
      </c>
    </row>
    <row r="337" spans="1:9">
      <c r="A337" s="2">
        <v>45627</v>
      </c>
      <c r="B337">
        <v>2024</v>
      </c>
      <c r="C337" t="s">
        <v>20</v>
      </c>
      <c r="D337" t="s">
        <v>22</v>
      </c>
      <c r="E337" t="s">
        <v>27</v>
      </c>
      <c r="F337">
        <v>443</v>
      </c>
      <c r="G337">
        <v>906</v>
      </c>
      <c r="H337">
        <v>401358</v>
      </c>
      <c r="I337">
        <v>78820</v>
      </c>
    </row>
    <row r="338" spans="1:9">
      <c r="A338" s="2">
        <v>45627</v>
      </c>
      <c r="B338">
        <v>2024</v>
      </c>
      <c r="C338" t="s">
        <v>20</v>
      </c>
      <c r="D338" t="s">
        <v>22</v>
      </c>
      <c r="E338" t="s">
        <v>28</v>
      </c>
      <c r="F338">
        <v>313</v>
      </c>
      <c r="G338">
        <v>847</v>
      </c>
      <c r="H338">
        <v>265111</v>
      </c>
      <c r="I338">
        <v>57753</v>
      </c>
    </row>
    <row r="339" spans="1:9">
      <c r="A339" s="2">
        <v>45627</v>
      </c>
      <c r="B339">
        <v>2024</v>
      </c>
      <c r="C339" t="s">
        <v>20</v>
      </c>
      <c r="D339" t="s">
        <v>22</v>
      </c>
      <c r="E339" t="s">
        <v>29</v>
      </c>
      <c r="F339">
        <v>313</v>
      </c>
      <c r="G339">
        <v>918</v>
      </c>
      <c r="H339">
        <v>287334</v>
      </c>
      <c r="I339">
        <v>60938</v>
      </c>
    </row>
    <row r="340" spans="1:9">
      <c r="A340" s="2">
        <v>45627</v>
      </c>
      <c r="B340">
        <v>2024</v>
      </c>
      <c r="C340" t="s">
        <v>20</v>
      </c>
      <c r="D340" t="s">
        <v>22</v>
      </c>
      <c r="E340" t="s">
        <v>30</v>
      </c>
      <c r="F340">
        <v>244</v>
      </c>
      <c r="G340">
        <v>910</v>
      </c>
      <c r="H340">
        <v>222040</v>
      </c>
      <c r="I340">
        <v>28962</v>
      </c>
    </row>
    <row r="341" spans="1:9">
      <c r="A341" s="2">
        <v>45627</v>
      </c>
      <c r="B341">
        <v>2024</v>
      </c>
      <c r="C341" t="s">
        <v>20</v>
      </c>
      <c r="D341" t="s">
        <v>22</v>
      </c>
      <c r="E341" t="s">
        <v>31</v>
      </c>
      <c r="F341">
        <v>158</v>
      </c>
      <c r="G341">
        <v>915</v>
      </c>
      <c r="H341">
        <v>144570</v>
      </c>
      <c r="I341">
        <v>18041</v>
      </c>
    </row>
    <row r="342" spans="1:9">
      <c r="A342" s="2">
        <v>45627</v>
      </c>
      <c r="B342">
        <v>2024</v>
      </c>
      <c r="C342" t="s">
        <v>20</v>
      </c>
      <c r="D342" t="s">
        <v>23</v>
      </c>
      <c r="E342" t="s">
        <v>27</v>
      </c>
      <c r="F342">
        <v>210</v>
      </c>
      <c r="G342">
        <v>108</v>
      </c>
      <c r="H342">
        <v>22680</v>
      </c>
      <c r="I342">
        <v>5097</v>
      </c>
    </row>
    <row r="343" spans="1:9">
      <c r="A343" s="2">
        <v>45627</v>
      </c>
      <c r="B343">
        <v>2024</v>
      </c>
      <c r="C343" t="s">
        <v>20</v>
      </c>
      <c r="D343" t="s">
        <v>23</v>
      </c>
      <c r="E343" t="s">
        <v>28</v>
      </c>
      <c r="F343">
        <v>313</v>
      </c>
      <c r="G343">
        <v>123</v>
      </c>
      <c r="H343">
        <v>38499</v>
      </c>
      <c r="I343">
        <v>5574</v>
      </c>
    </row>
    <row r="344" spans="1:9">
      <c r="A344" s="2">
        <v>45627</v>
      </c>
      <c r="B344">
        <v>2024</v>
      </c>
      <c r="C344" t="s">
        <v>20</v>
      </c>
      <c r="D344" t="s">
        <v>23</v>
      </c>
      <c r="E344" t="s">
        <v>29</v>
      </c>
      <c r="F344">
        <v>366</v>
      </c>
      <c r="G344">
        <v>109</v>
      </c>
      <c r="H344">
        <v>39894</v>
      </c>
      <c r="I344">
        <v>9092</v>
      </c>
    </row>
    <row r="345" spans="1:9">
      <c r="A345" s="2">
        <v>45627</v>
      </c>
      <c r="B345">
        <v>2024</v>
      </c>
      <c r="C345" t="s">
        <v>20</v>
      </c>
      <c r="D345" t="s">
        <v>23</v>
      </c>
      <c r="E345" t="s">
        <v>30</v>
      </c>
      <c r="F345">
        <v>167</v>
      </c>
      <c r="G345">
        <v>133</v>
      </c>
      <c r="H345">
        <v>22211</v>
      </c>
      <c r="I345">
        <v>2841</v>
      </c>
    </row>
    <row r="346" spans="1:9">
      <c r="A346" s="2">
        <v>45627</v>
      </c>
      <c r="B346">
        <v>2024</v>
      </c>
      <c r="C346" t="s">
        <v>20</v>
      </c>
      <c r="D346" t="s">
        <v>23</v>
      </c>
      <c r="E346" t="s">
        <v>31</v>
      </c>
      <c r="F346">
        <v>144</v>
      </c>
      <c r="G346">
        <v>121</v>
      </c>
      <c r="H346">
        <v>17424</v>
      </c>
      <c r="I346">
        <v>4192</v>
      </c>
    </row>
    <row r="347" spans="1:9">
      <c r="A347" s="2">
        <v>45627</v>
      </c>
      <c r="B347">
        <v>2024</v>
      </c>
      <c r="C347" t="s">
        <v>20</v>
      </c>
      <c r="D347" t="s">
        <v>24</v>
      </c>
      <c r="E347" t="s">
        <v>27</v>
      </c>
      <c r="F347">
        <v>168</v>
      </c>
      <c r="G347">
        <v>634</v>
      </c>
      <c r="H347">
        <v>106512</v>
      </c>
      <c r="I347">
        <v>11447</v>
      </c>
    </row>
    <row r="348" spans="1:9">
      <c r="A348" s="2">
        <v>45627</v>
      </c>
      <c r="B348">
        <v>2024</v>
      </c>
      <c r="C348" t="s">
        <v>20</v>
      </c>
      <c r="D348" t="s">
        <v>24</v>
      </c>
      <c r="E348" t="s">
        <v>28</v>
      </c>
      <c r="F348">
        <v>423</v>
      </c>
      <c r="G348">
        <v>614</v>
      </c>
      <c r="H348">
        <v>259722</v>
      </c>
      <c r="I348">
        <v>42991</v>
      </c>
    </row>
    <row r="349" spans="1:9">
      <c r="A349" s="2">
        <v>45627</v>
      </c>
      <c r="B349">
        <v>2024</v>
      </c>
      <c r="C349" t="s">
        <v>20</v>
      </c>
      <c r="D349" t="s">
        <v>24</v>
      </c>
      <c r="E349" t="s">
        <v>29</v>
      </c>
      <c r="F349">
        <v>443</v>
      </c>
      <c r="G349">
        <v>541</v>
      </c>
      <c r="H349">
        <v>239663</v>
      </c>
      <c r="I349">
        <v>26025</v>
      </c>
    </row>
    <row r="350" spans="1:9">
      <c r="A350" s="2">
        <v>45627</v>
      </c>
      <c r="B350">
        <v>2024</v>
      </c>
      <c r="C350" t="s">
        <v>20</v>
      </c>
      <c r="D350" t="s">
        <v>24</v>
      </c>
      <c r="E350" t="s">
        <v>30</v>
      </c>
      <c r="F350">
        <v>286</v>
      </c>
      <c r="G350">
        <v>631</v>
      </c>
      <c r="H350">
        <v>180466</v>
      </c>
      <c r="I350">
        <v>21710</v>
      </c>
    </row>
    <row r="351" spans="1:9">
      <c r="A351" s="2">
        <v>45627</v>
      </c>
      <c r="B351">
        <v>2024</v>
      </c>
      <c r="C351" t="s">
        <v>20</v>
      </c>
      <c r="D351" t="s">
        <v>24</v>
      </c>
      <c r="E351" t="s">
        <v>31</v>
      </c>
      <c r="F351">
        <v>124</v>
      </c>
      <c r="G351">
        <v>678</v>
      </c>
      <c r="H351">
        <v>84072</v>
      </c>
      <c r="I351">
        <v>14360</v>
      </c>
    </row>
    <row r="352" spans="1:9">
      <c r="A352" s="2">
        <v>45627</v>
      </c>
      <c r="B352">
        <v>2024</v>
      </c>
      <c r="C352" t="s">
        <v>20</v>
      </c>
      <c r="D352" t="s">
        <v>25</v>
      </c>
      <c r="E352" t="s">
        <v>27</v>
      </c>
      <c r="F352">
        <v>330</v>
      </c>
      <c r="G352">
        <v>229</v>
      </c>
      <c r="H352">
        <v>75570</v>
      </c>
      <c r="I352">
        <v>8203</v>
      </c>
    </row>
    <row r="353" spans="1:9">
      <c r="A353" s="2">
        <v>45627</v>
      </c>
      <c r="B353">
        <v>2024</v>
      </c>
      <c r="C353" t="s">
        <v>20</v>
      </c>
      <c r="D353" t="s">
        <v>25</v>
      </c>
      <c r="E353" t="s">
        <v>28</v>
      </c>
      <c r="F353">
        <v>338</v>
      </c>
      <c r="G353">
        <v>242</v>
      </c>
      <c r="H353">
        <v>81796</v>
      </c>
      <c r="I353">
        <v>11561</v>
      </c>
    </row>
    <row r="354" spans="1:9">
      <c r="A354" s="2">
        <v>45627</v>
      </c>
      <c r="B354">
        <v>2024</v>
      </c>
      <c r="C354" t="s">
        <v>20</v>
      </c>
      <c r="D354" t="s">
        <v>25</v>
      </c>
      <c r="E354" t="s">
        <v>29</v>
      </c>
      <c r="F354">
        <v>395</v>
      </c>
      <c r="G354">
        <v>240</v>
      </c>
      <c r="H354">
        <v>94800</v>
      </c>
      <c r="I354">
        <v>13347</v>
      </c>
    </row>
    <row r="355" spans="1:9">
      <c r="A355" s="2">
        <v>45627</v>
      </c>
      <c r="B355">
        <v>2024</v>
      </c>
      <c r="C355" t="s">
        <v>20</v>
      </c>
      <c r="D355" t="s">
        <v>25</v>
      </c>
      <c r="E355" t="s">
        <v>30</v>
      </c>
      <c r="F355">
        <v>295</v>
      </c>
      <c r="G355">
        <v>251</v>
      </c>
      <c r="H355">
        <v>74045</v>
      </c>
      <c r="I355">
        <v>16787</v>
      </c>
    </row>
    <row r="356" spans="1:9">
      <c r="A356" s="2">
        <v>45627</v>
      </c>
      <c r="B356">
        <v>2024</v>
      </c>
      <c r="C356" t="s">
        <v>20</v>
      </c>
      <c r="D356" t="s">
        <v>25</v>
      </c>
      <c r="E356" t="s">
        <v>31</v>
      </c>
      <c r="F356">
        <v>168</v>
      </c>
      <c r="G356">
        <v>229</v>
      </c>
      <c r="H356">
        <v>38472</v>
      </c>
      <c r="I356">
        <v>6660</v>
      </c>
    </row>
    <row r="357" spans="1:9">
      <c r="A357" s="2">
        <v>45627</v>
      </c>
      <c r="B357">
        <v>2024</v>
      </c>
      <c r="C357" t="s">
        <v>20</v>
      </c>
      <c r="D357" t="s">
        <v>26</v>
      </c>
      <c r="E357" t="s">
        <v>27</v>
      </c>
      <c r="F357">
        <v>297</v>
      </c>
      <c r="G357">
        <v>319</v>
      </c>
      <c r="H357">
        <v>94743</v>
      </c>
      <c r="I357">
        <v>18281</v>
      </c>
    </row>
    <row r="358" spans="1:9">
      <c r="A358" s="2">
        <v>45627</v>
      </c>
      <c r="B358">
        <v>2024</v>
      </c>
      <c r="C358" t="s">
        <v>20</v>
      </c>
      <c r="D358" t="s">
        <v>26</v>
      </c>
      <c r="E358" t="s">
        <v>28</v>
      </c>
      <c r="F358">
        <v>113</v>
      </c>
      <c r="G358">
        <v>361</v>
      </c>
      <c r="H358">
        <v>40793</v>
      </c>
      <c r="I358">
        <v>6594</v>
      </c>
    </row>
    <row r="359" spans="1:9">
      <c r="A359" s="2">
        <v>45627</v>
      </c>
      <c r="B359">
        <v>2024</v>
      </c>
      <c r="C359" t="s">
        <v>20</v>
      </c>
      <c r="D359" t="s">
        <v>26</v>
      </c>
      <c r="E359" t="s">
        <v>29</v>
      </c>
      <c r="F359">
        <v>97</v>
      </c>
      <c r="G359">
        <v>322</v>
      </c>
      <c r="H359">
        <v>31234</v>
      </c>
      <c r="I359">
        <v>4232</v>
      </c>
    </row>
    <row r="360" spans="1:9">
      <c r="A360" s="2">
        <v>45627</v>
      </c>
      <c r="B360">
        <v>2024</v>
      </c>
      <c r="C360" t="s">
        <v>20</v>
      </c>
      <c r="D360" t="s">
        <v>26</v>
      </c>
      <c r="E360" t="s">
        <v>30</v>
      </c>
      <c r="F360">
        <v>270</v>
      </c>
      <c r="G360">
        <v>373</v>
      </c>
      <c r="H360">
        <v>100710</v>
      </c>
      <c r="I360">
        <v>24624</v>
      </c>
    </row>
    <row r="361" spans="1:9">
      <c r="A361" s="2">
        <v>45627</v>
      </c>
      <c r="B361">
        <v>2024</v>
      </c>
      <c r="C361" t="s">
        <v>20</v>
      </c>
      <c r="D361" t="s">
        <v>26</v>
      </c>
      <c r="E361" t="s">
        <v>31</v>
      </c>
      <c r="F361">
        <v>251</v>
      </c>
      <c r="G361">
        <v>392</v>
      </c>
      <c r="H361">
        <v>98392</v>
      </c>
      <c r="I361">
        <v>15646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44927</v>
      </c>
      <c r="B2">
        <v>2023</v>
      </c>
      <c r="C2" t="s">
        <v>9</v>
      </c>
      <c r="D2" t="s">
        <v>21</v>
      </c>
      <c r="E2" t="s">
        <v>27</v>
      </c>
      <c r="F2">
        <v>186</v>
      </c>
      <c r="G2">
        <v>1318</v>
      </c>
      <c r="H2">
        <v>245148</v>
      </c>
      <c r="I2">
        <v>31260</v>
      </c>
    </row>
    <row r="3" spans="1:9">
      <c r="A3" s="2">
        <v>44927</v>
      </c>
      <c r="B3">
        <v>2023</v>
      </c>
      <c r="C3" t="s">
        <v>9</v>
      </c>
      <c r="D3" t="s">
        <v>21</v>
      </c>
      <c r="E3" t="s">
        <v>28</v>
      </c>
      <c r="F3">
        <v>154</v>
      </c>
      <c r="G3">
        <v>1259</v>
      </c>
      <c r="H3">
        <v>193886</v>
      </c>
      <c r="I3">
        <v>23926</v>
      </c>
    </row>
    <row r="4" spans="1:9">
      <c r="A4" s="2">
        <v>44927</v>
      </c>
      <c r="B4">
        <v>2023</v>
      </c>
      <c r="C4" t="s">
        <v>9</v>
      </c>
      <c r="D4" t="s">
        <v>21</v>
      </c>
      <c r="E4" t="s">
        <v>29</v>
      </c>
      <c r="F4">
        <v>301</v>
      </c>
      <c r="G4">
        <v>1097</v>
      </c>
      <c r="H4">
        <v>330197</v>
      </c>
      <c r="I4">
        <v>75921</v>
      </c>
    </row>
    <row r="5" spans="1:9">
      <c r="A5" s="2">
        <v>44927</v>
      </c>
      <c r="B5">
        <v>2023</v>
      </c>
      <c r="C5" t="s">
        <v>9</v>
      </c>
      <c r="D5" t="s">
        <v>21</v>
      </c>
      <c r="E5" t="s">
        <v>30</v>
      </c>
      <c r="F5">
        <v>183</v>
      </c>
      <c r="G5">
        <v>1122</v>
      </c>
      <c r="H5">
        <v>205326</v>
      </c>
      <c r="I5">
        <v>40579</v>
      </c>
    </row>
    <row r="6" spans="1:9">
      <c r="A6" s="2">
        <v>44927</v>
      </c>
      <c r="B6">
        <v>2023</v>
      </c>
      <c r="C6" t="s">
        <v>9</v>
      </c>
      <c r="D6" t="s">
        <v>21</v>
      </c>
      <c r="E6" t="s">
        <v>31</v>
      </c>
      <c r="F6">
        <v>397</v>
      </c>
      <c r="G6">
        <v>1370</v>
      </c>
      <c r="H6">
        <v>543890</v>
      </c>
      <c r="I6">
        <v>122302</v>
      </c>
    </row>
    <row r="7" spans="1:9">
      <c r="A7" s="2">
        <v>44927</v>
      </c>
      <c r="B7">
        <v>2023</v>
      </c>
      <c r="C7" t="s">
        <v>9</v>
      </c>
      <c r="D7" t="s">
        <v>22</v>
      </c>
      <c r="E7" t="s">
        <v>27</v>
      </c>
      <c r="F7">
        <v>382</v>
      </c>
      <c r="G7">
        <v>720</v>
      </c>
      <c r="H7">
        <v>275040</v>
      </c>
      <c r="I7">
        <v>68438</v>
      </c>
    </row>
    <row r="8" spans="1:9">
      <c r="A8" s="2">
        <v>44927</v>
      </c>
      <c r="B8">
        <v>2023</v>
      </c>
      <c r="C8" t="s">
        <v>9</v>
      </c>
      <c r="D8" t="s">
        <v>22</v>
      </c>
      <c r="E8" t="s">
        <v>28</v>
      </c>
      <c r="F8">
        <v>245</v>
      </c>
      <c r="G8">
        <v>780</v>
      </c>
      <c r="H8">
        <v>191100</v>
      </c>
      <c r="I8">
        <v>34152</v>
      </c>
    </row>
    <row r="9" spans="1:9">
      <c r="A9" s="2">
        <v>44927</v>
      </c>
      <c r="B9">
        <v>2023</v>
      </c>
      <c r="C9" t="s">
        <v>9</v>
      </c>
      <c r="D9" t="s">
        <v>22</v>
      </c>
      <c r="E9" t="s">
        <v>29</v>
      </c>
      <c r="F9">
        <v>322</v>
      </c>
      <c r="G9">
        <v>724</v>
      </c>
      <c r="H9">
        <v>233128</v>
      </c>
      <c r="I9">
        <v>41663</v>
      </c>
    </row>
    <row r="10" spans="1:9">
      <c r="A10" s="2">
        <v>44927</v>
      </c>
      <c r="B10">
        <v>2023</v>
      </c>
      <c r="C10" t="s">
        <v>9</v>
      </c>
      <c r="D10" t="s">
        <v>22</v>
      </c>
      <c r="E10" t="s">
        <v>30</v>
      </c>
      <c r="F10">
        <v>255</v>
      </c>
      <c r="G10">
        <v>729</v>
      </c>
      <c r="H10">
        <v>185895</v>
      </c>
      <c r="I10">
        <v>45741</v>
      </c>
    </row>
    <row r="11" spans="1:9">
      <c r="A11" s="2">
        <v>44927</v>
      </c>
      <c r="B11">
        <v>2023</v>
      </c>
      <c r="C11" t="s">
        <v>9</v>
      </c>
      <c r="D11" t="s">
        <v>22</v>
      </c>
      <c r="E11" t="s">
        <v>31</v>
      </c>
      <c r="F11">
        <v>358</v>
      </c>
      <c r="G11">
        <v>811</v>
      </c>
      <c r="H11">
        <v>290338</v>
      </c>
      <c r="I11">
        <v>63228</v>
      </c>
    </row>
    <row r="12" spans="1:9">
      <c r="A12" s="2">
        <v>44927</v>
      </c>
      <c r="B12">
        <v>2023</v>
      </c>
      <c r="C12" t="s">
        <v>9</v>
      </c>
      <c r="D12" t="s">
        <v>23</v>
      </c>
      <c r="E12" t="s">
        <v>27</v>
      </c>
      <c r="F12">
        <v>133</v>
      </c>
      <c r="G12">
        <v>119</v>
      </c>
      <c r="H12">
        <v>15827</v>
      </c>
      <c r="I12">
        <v>3916</v>
      </c>
    </row>
    <row r="13" spans="1:9">
      <c r="A13" s="2">
        <v>44927</v>
      </c>
      <c r="B13">
        <v>2023</v>
      </c>
      <c r="C13" t="s">
        <v>9</v>
      </c>
      <c r="D13" t="s">
        <v>23</v>
      </c>
      <c r="E13" t="s">
        <v>28</v>
      </c>
      <c r="F13">
        <v>215</v>
      </c>
      <c r="G13">
        <v>133</v>
      </c>
      <c r="H13">
        <v>28595</v>
      </c>
      <c r="I13">
        <v>5777</v>
      </c>
    </row>
    <row r="14" spans="1:9">
      <c r="A14" s="2">
        <v>44927</v>
      </c>
      <c r="B14">
        <v>2023</v>
      </c>
      <c r="C14" t="s">
        <v>9</v>
      </c>
      <c r="D14" t="s">
        <v>23</v>
      </c>
      <c r="E14" t="s">
        <v>29</v>
      </c>
      <c r="F14">
        <v>252</v>
      </c>
      <c r="G14">
        <v>108</v>
      </c>
      <c r="H14">
        <v>27216</v>
      </c>
      <c r="I14">
        <v>6568</v>
      </c>
    </row>
    <row r="15" spans="1:9">
      <c r="A15" s="2">
        <v>44927</v>
      </c>
      <c r="B15">
        <v>2023</v>
      </c>
      <c r="C15" t="s">
        <v>9</v>
      </c>
      <c r="D15" t="s">
        <v>23</v>
      </c>
      <c r="E15" t="s">
        <v>30</v>
      </c>
      <c r="F15">
        <v>95</v>
      </c>
      <c r="G15">
        <v>132</v>
      </c>
      <c r="H15">
        <v>12540</v>
      </c>
      <c r="I15">
        <v>1826</v>
      </c>
    </row>
    <row r="16" spans="1:9">
      <c r="A16" s="2">
        <v>44927</v>
      </c>
      <c r="B16">
        <v>2023</v>
      </c>
      <c r="C16" t="s">
        <v>9</v>
      </c>
      <c r="D16" t="s">
        <v>23</v>
      </c>
      <c r="E16" t="s">
        <v>31</v>
      </c>
      <c r="F16">
        <v>135</v>
      </c>
      <c r="G16">
        <v>114</v>
      </c>
      <c r="H16">
        <v>15390</v>
      </c>
      <c r="I16">
        <v>2095</v>
      </c>
    </row>
    <row r="17" spans="1:9">
      <c r="A17" s="2">
        <v>44927</v>
      </c>
      <c r="B17">
        <v>2023</v>
      </c>
      <c r="C17" t="s">
        <v>9</v>
      </c>
      <c r="D17" t="s">
        <v>24</v>
      </c>
      <c r="E17" t="s">
        <v>27</v>
      </c>
      <c r="F17">
        <v>351</v>
      </c>
      <c r="G17">
        <v>545</v>
      </c>
      <c r="H17">
        <v>191295</v>
      </c>
      <c r="I17">
        <v>45221</v>
      </c>
    </row>
    <row r="18" spans="1:9">
      <c r="A18" s="2">
        <v>44927</v>
      </c>
      <c r="B18">
        <v>2023</v>
      </c>
      <c r="C18" t="s">
        <v>9</v>
      </c>
      <c r="D18" t="s">
        <v>24</v>
      </c>
      <c r="E18" t="s">
        <v>28</v>
      </c>
      <c r="F18">
        <v>132</v>
      </c>
      <c r="G18">
        <v>639</v>
      </c>
      <c r="H18">
        <v>84348</v>
      </c>
      <c r="I18">
        <v>12378</v>
      </c>
    </row>
    <row r="19" spans="1:9">
      <c r="A19" s="2">
        <v>44927</v>
      </c>
      <c r="B19">
        <v>2023</v>
      </c>
      <c r="C19" t="s">
        <v>9</v>
      </c>
      <c r="D19" t="s">
        <v>24</v>
      </c>
      <c r="E19" t="s">
        <v>29</v>
      </c>
      <c r="F19">
        <v>136</v>
      </c>
      <c r="G19">
        <v>622</v>
      </c>
      <c r="H19">
        <v>84592</v>
      </c>
      <c r="I19">
        <v>10804</v>
      </c>
    </row>
    <row r="20" spans="1:9">
      <c r="A20" s="2">
        <v>44927</v>
      </c>
      <c r="B20">
        <v>2023</v>
      </c>
      <c r="C20" t="s">
        <v>9</v>
      </c>
      <c r="D20" t="s">
        <v>24</v>
      </c>
      <c r="E20" t="s">
        <v>30</v>
      </c>
      <c r="F20">
        <v>276</v>
      </c>
      <c r="G20">
        <v>666</v>
      </c>
      <c r="H20">
        <v>183816</v>
      </c>
      <c r="I20">
        <v>30782</v>
      </c>
    </row>
    <row r="21" spans="1:9">
      <c r="A21" s="2">
        <v>44927</v>
      </c>
      <c r="B21">
        <v>2023</v>
      </c>
      <c r="C21" t="s">
        <v>9</v>
      </c>
      <c r="D21" t="s">
        <v>24</v>
      </c>
      <c r="E21" t="s">
        <v>31</v>
      </c>
      <c r="F21">
        <v>288</v>
      </c>
      <c r="G21">
        <v>674</v>
      </c>
      <c r="H21">
        <v>194112</v>
      </c>
      <c r="I21">
        <v>36820</v>
      </c>
    </row>
    <row r="22" spans="1:9">
      <c r="A22" s="2">
        <v>44927</v>
      </c>
      <c r="B22">
        <v>2023</v>
      </c>
      <c r="C22" t="s">
        <v>9</v>
      </c>
      <c r="D22" t="s">
        <v>25</v>
      </c>
      <c r="E22" t="s">
        <v>27</v>
      </c>
      <c r="F22">
        <v>392</v>
      </c>
      <c r="G22">
        <v>245</v>
      </c>
      <c r="H22">
        <v>96040</v>
      </c>
      <c r="I22">
        <v>17821</v>
      </c>
    </row>
    <row r="23" spans="1:9">
      <c r="A23" s="2">
        <v>44927</v>
      </c>
      <c r="B23">
        <v>2023</v>
      </c>
      <c r="C23" t="s">
        <v>9</v>
      </c>
      <c r="D23" t="s">
        <v>25</v>
      </c>
      <c r="E23" t="s">
        <v>28</v>
      </c>
      <c r="F23">
        <v>339</v>
      </c>
      <c r="G23">
        <v>227</v>
      </c>
      <c r="H23">
        <v>76953</v>
      </c>
      <c r="I23">
        <v>11450</v>
      </c>
    </row>
    <row r="24" spans="1:9">
      <c r="A24" s="2">
        <v>44927</v>
      </c>
      <c r="B24">
        <v>2023</v>
      </c>
      <c r="C24" t="s">
        <v>9</v>
      </c>
      <c r="D24" t="s">
        <v>25</v>
      </c>
      <c r="E24" t="s">
        <v>29</v>
      </c>
      <c r="F24">
        <v>294</v>
      </c>
      <c r="G24">
        <v>271</v>
      </c>
      <c r="H24">
        <v>79674</v>
      </c>
      <c r="I24">
        <v>14417</v>
      </c>
    </row>
    <row r="25" spans="1:9">
      <c r="A25" s="2">
        <v>44927</v>
      </c>
      <c r="B25">
        <v>2023</v>
      </c>
      <c r="C25" t="s">
        <v>9</v>
      </c>
      <c r="D25" t="s">
        <v>25</v>
      </c>
      <c r="E25" t="s">
        <v>30</v>
      </c>
      <c r="F25">
        <v>367</v>
      </c>
      <c r="G25">
        <v>247</v>
      </c>
      <c r="H25">
        <v>90649</v>
      </c>
      <c r="I25">
        <v>12884</v>
      </c>
    </row>
    <row r="26" spans="1:9">
      <c r="A26" s="2">
        <v>44927</v>
      </c>
      <c r="B26">
        <v>2023</v>
      </c>
      <c r="C26" t="s">
        <v>9</v>
      </c>
      <c r="D26" t="s">
        <v>25</v>
      </c>
      <c r="E26" t="s">
        <v>31</v>
      </c>
      <c r="F26">
        <v>122</v>
      </c>
      <c r="G26">
        <v>243</v>
      </c>
      <c r="H26">
        <v>29646</v>
      </c>
      <c r="I26">
        <v>3699</v>
      </c>
    </row>
    <row r="27" spans="1:9">
      <c r="A27" s="2">
        <v>44927</v>
      </c>
      <c r="B27">
        <v>2023</v>
      </c>
      <c r="C27" t="s">
        <v>9</v>
      </c>
      <c r="D27" t="s">
        <v>26</v>
      </c>
      <c r="E27" t="s">
        <v>27</v>
      </c>
      <c r="F27">
        <v>90</v>
      </c>
      <c r="G27">
        <v>382</v>
      </c>
      <c r="H27">
        <v>34380</v>
      </c>
      <c r="I27">
        <v>4462</v>
      </c>
    </row>
    <row r="28" spans="1:9">
      <c r="A28" s="2">
        <v>44927</v>
      </c>
      <c r="B28">
        <v>2023</v>
      </c>
      <c r="C28" t="s">
        <v>9</v>
      </c>
      <c r="D28" t="s">
        <v>26</v>
      </c>
      <c r="E28" t="s">
        <v>28</v>
      </c>
      <c r="F28">
        <v>145</v>
      </c>
      <c r="G28">
        <v>386</v>
      </c>
      <c r="H28">
        <v>55970</v>
      </c>
      <c r="I28">
        <v>11531</v>
      </c>
    </row>
    <row r="29" spans="1:9">
      <c r="A29" s="2">
        <v>44927</v>
      </c>
      <c r="B29">
        <v>2023</v>
      </c>
      <c r="C29" t="s">
        <v>9</v>
      </c>
      <c r="D29" t="s">
        <v>26</v>
      </c>
      <c r="E29" t="s">
        <v>29</v>
      </c>
      <c r="F29">
        <v>248</v>
      </c>
      <c r="G29">
        <v>384</v>
      </c>
      <c r="H29">
        <v>95232</v>
      </c>
      <c r="I29">
        <v>18179</v>
      </c>
    </row>
    <row r="30" spans="1:9">
      <c r="A30" s="2">
        <v>44927</v>
      </c>
      <c r="B30">
        <v>2023</v>
      </c>
      <c r="C30" t="s">
        <v>9</v>
      </c>
      <c r="D30" t="s">
        <v>26</v>
      </c>
      <c r="E30" t="s">
        <v>30</v>
      </c>
      <c r="F30">
        <v>317</v>
      </c>
      <c r="G30">
        <v>371</v>
      </c>
      <c r="H30">
        <v>117607</v>
      </c>
      <c r="I30">
        <v>27901</v>
      </c>
    </row>
    <row r="31" spans="1:9">
      <c r="A31" s="2">
        <v>44927</v>
      </c>
      <c r="B31">
        <v>2023</v>
      </c>
      <c r="C31" t="s">
        <v>9</v>
      </c>
      <c r="D31" t="s">
        <v>26</v>
      </c>
      <c r="E31" t="s">
        <v>31</v>
      </c>
      <c r="F31">
        <v>287</v>
      </c>
      <c r="G31">
        <v>369</v>
      </c>
      <c r="H31">
        <v>105903</v>
      </c>
      <c r="I31">
        <v>15846</v>
      </c>
    </row>
    <row r="32" spans="1:9">
      <c r="A32" s="2">
        <v>44958</v>
      </c>
      <c r="B32">
        <v>2023</v>
      </c>
      <c r="C32" t="s">
        <v>10</v>
      </c>
      <c r="D32" t="s">
        <v>21</v>
      </c>
      <c r="E32" t="s">
        <v>27</v>
      </c>
      <c r="F32">
        <v>132</v>
      </c>
      <c r="G32">
        <v>1191</v>
      </c>
      <c r="H32">
        <v>157212</v>
      </c>
      <c r="I32">
        <v>31493</v>
      </c>
    </row>
    <row r="33" spans="1:9">
      <c r="A33" s="2">
        <v>44958</v>
      </c>
      <c r="B33">
        <v>2023</v>
      </c>
      <c r="C33" t="s">
        <v>10</v>
      </c>
      <c r="D33" t="s">
        <v>21</v>
      </c>
      <c r="E33" t="s">
        <v>28</v>
      </c>
      <c r="F33">
        <v>388</v>
      </c>
      <c r="G33">
        <v>1298</v>
      </c>
      <c r="H33">
        <v>503624</v>
      </c>
      <c r="I33">
        <v>98525</v>
      </c>
    </row>
    <row r="34" spans="1:9">
      <c r="A34" s="2">
        <v>44958</v>
      </c>
      <c r="B34">
        <v>2023</v>
      </c>
      <c r="C34" t="s">
        <v>10</v>
      </c>
      <c r="D34" t="s">
        <v>21</v>
      </c>
      <c r="E34" t="s">
        <v>29</v>
      </c>
      <c r="F34">
        <v>118</v>
      </c>
      <c r="G34">
        <v>1221</v>
      </c>
      <c r="H34">
        <v>144078</v>
      </c>
      <c r="I34">
        <v>16992</v>
      </c>
    </row>
    <row r="35" spans="1:9">
      <c r="A35" s="2">
        <v>44958</v>
      </c>
      <c r="B35">
        <v>2023</v>
      </c>
      <c r="C35" t="s">
        <v>10</v>
      </c>
      <c r="D35" t="s">
        <v>21</v>
      </c>
      <c r="E35" t="s">
        <v>30</v>
      </c>
      <c r="F35">
        <v>219</v>
      </c>
      <c r="G35">
        <v>1308</v>
      </c>
      <c r="H35">
        <v>286452</v>
      </c>
      <c r="I35">
        <v>52762</v>
      </c>
    </row>
    <row r="36" spans="1:9">
      <c r="A36" s="2">
        <v>44958</v>
      </c>
      <c r="B36">
        <v>2023</v>
      </c>
      <c r="C36" t="s">
        <v>10</v>
      </c>
      <c r="D36" t="s">
        <v>21</v>
      </c>
      <c r="E36" t="s">
        <v>31</v>
      </c>
      <c r="F36">
        <v>348</v>
      </c>
      <c r="G36">
        <v>1156</v>
      </c>
      <c r="H36">
        <v>402288</v>
      </c>
      <c r="I36">
        <v>42668</v>
      </c>
    </row>
    <row r="37" spans="1:9">
      <c r="A37" s="2">
        <v>44958</v>
      </c>
      <c r="B37">
        <v>2023</v>
      </c>
      <c r="C37" t="s">
        <v>10</v>
      </c>
      <c r="D37" t="s">
        <v>22</v>
      </c>
      <c r="E37" t="s">
        <v>27</v>
      </c>
      <c r="F37">
        <v>298</v>
      </c>
      <c r="G37">
        <v>805</v>
      </c>
      <c r="H37">
        <v>239890</v>
      </c>
      <c r="I37">
        <v>24903</v>
      </c>
    </row>
    <row r="38" spans="1:9">
      <c r="A38" s="2">
        <v>44958</v>
      </c>
      <c r="B38">
        <v>2023</v>
      </c>
      <c r="C38" t="s">
        <v>10</v>
      </c>
      <c r="D38" t="s">
        <v>22</v>
      </c>
      <c r="E38" t="s">
        <v>28</v>
      </c>
      <c r="F38">
        <v>269</v>
      </c>
      <c r="G38">
        <v>726</v>
      </c>
      <c r="H38">
        <v>195294</v>
      </c>
      <c r="I38">
        <v>38172</v>
      </c>
    </row>
    <row r="39" spans="1:9">
      <c r="A39" s="2">
        <v>44958</v>
      </c>
      <c r="B39">
        <v>2023</v>
      </c>
      <c r="C39" t="s">
        <v>10</v>
      </c>
      <c r="D39" t="s">
        <v>22</v>
      </c>
      <c r="E39" t="s">
        <v>29</v>
      </c>
      <c r="F39">
        <v>136</v>
      </c>
      <c r="G39">
        <v>832</v>
      </c>
      <c r="H39">
        <v>113152</v>
      </c>
      <c r="I39">
        <v>23120</v>
      </c>
    </row>
    <row r="40" spans="1:9">
      <c r="A40" s="2">
        <v>44958</v>
      </c>
      <c r="B40">
        <v>2023</v>
      </c>
      <c r="C40" t="s">
        <v>10</v>
      </c>
      <c r="D40" t="s">
        <v>22</v>
      </c>
      <c r="E40" t="s">
        <v>30</v>
      </c>
      <c r="F40">
        <v>323</v>
      </c>
      <c r="G40">
        <v>802</v>
      </c>
      <c r="H40">
        <v>259046</v>
      </c>
      <c r="I40">
        <v>55262</v>
      </c>
    </row>
    <row r="41" spans="1:9">
      <c r="A41" s="2">
        <v>44958</v>
      </c>
      <c r="B41">
        <v>2023</v>
      </c>
      <c r="C41" t="s">
        <v>10</v>
      </c>
      <c r="D41" t="s">
        <v>22</v>
      </c>
      <c r="E41" t="s">
        <v>31</v>
      </c>
      <c r="F41">
        <v>119</v>
      </c>
      <c r="G41">
        <v>908</v>
      </c>
      <c r="H41">
        <v>108052</v>
      </c>
      <c r="I41">
        <v>20511</v>
      </c>
    </row>
    <row r="42" spans="1:9">
      <c r="A42" s="2">
        <v>44958</v>
      </c>
      <c r="B42">
        <v>2023</v>
      </c>
      <c r="C42" t="s">
        <v>10</v>
      </c>
      <c r="D42" t="s">
        <v>23</v>
      </c>
      <c r="E42" t="s">
        <v>27</v>
      </c>
      <c r="F42">
        <v>335</v>
      </c>
      <c r="G42">
        <v>112</v>
      </c>
      <c r="H42">
        <v>37520</v>
      </c>
      <c r="I42">
        <v>8984</v>
      </c>
    </row>
    <row r="43" spans="1:9">
      <c r="A43" s="2">
        <v>44958</v>
      </c>
      <c r="B43">
        <v>2023</v>
      </c>
      <c r="C43" t="s">
        <v>10</v>
      </c>
      <c r="D43" t="s">
        <v>23</v>
      </c>
      <c r="E43" t="s">
        <v>28</v>
      </c>
      <c r="F43">
        <v>129</v>
      </c>
      <c r="G43">
        <v>116</v>
      </c>
      <c r="H43">
        <v>14964</v>
      </c>
      <c r="I43">
        <v>1733</v>
      </c>
    </row>
    <row r="44" spans="1:9">
      <c r="A44" s="2">
        <v>44958</v>
      </c>
      <c r="B44">
        <v>2023</v>
      </c>
      <c r="C44" t="s">
        <v>10</v>
      </c>
      <c r="D44" t="s">
        <v>23</v>
      </c>
      <c r="E44" t="s">
        <v>29</v>
      </c>
      <c r="F44">
        <v>378</v>
      </c>
      <c r="G44">
        <v>132</v>
      </c>
      <c r="H44">
        <v>49896</v>
      </c>
      <c r="I44">
        <v>6385</v>
      </c>
    </row>
    <row r="45" spans="1:9">
      <c r="A45" s="2">
        <v>44958</v>
      </c>
      <c r="B45">
        <v>2023</v>
      </c>
      <c r="C45" t="s">
        <v>10</v>
      </c>
      <c r="D45" t="s">
        <v>23</v>
      </c>
      <c r="E45" t="s">
        <v>30</v>
      </c>
      <c r="F45">
        <v>380</v>
      </c>
      <c r="G45">
        <v>134</v>
      </c>
      <c r="H45">
        <v>50920</v>
      </c>
      <c r="I45">
        <v>7569</v>
      </c>
    </row>
    <row r="46" spans="1:9">
      <c r="A46" s="2">
        <v>44958</v>
      </c>
      <c r="B46">
        <v>2023</v>
      </c>
      <c r="C46" t="s">
        <v>10</v>
      </c>
      <c r="D46" t="s">
        <v>23</v>
      </c>
      <c r="E46" t="s">
        <v>31</v>
      </c>
      <c r="F46">
        <v>323</v>
      </c>
      <c r="G46">
        <v>135</v>
      </c>
      <c r="H46">
        <v>43605</v>
      </c>
      <c r="I46">
        <v>6140</v>
      </c>
    </row>
    <row r="47" spans="1:9">
      <c r="A47" s="2">
        <v>44958</v>
      </c>
      <c r="B47">
        <v>2023</v>
      </c>
      <c r="C47" t="s">
        <v>10</v>
      </c>
      <c r="D47" t="s">
        <v>24</v>
      </c>
      <c r="E47" t="s">
        <v>27</v>
      </c>
      <c r="F47">
        <v>377</v>
      </c>
      <c r="G47">
        <v>604</v>
      </c>
      <c r="H47">
        <v>227708</v>
      </c>
      <c r="I47">
        <v>50711</v>
      </c>
    </row>
    <row r="48" spans="1:9">
      <c r="A48" s="2">
        <v>44958</v>
      </c>
      <c r="B48">
        <v>2023</v>
      </c>
      <c r="C48" t="s">
        <v>10</v>
      </c>
      <c r="D48" t="s">
        <v>24</v>
      </c>
      <c r="E48" t="s">
        <v>28</v>
      </c>
      <c r="F48">
        <v>325</v>
      </c>
      <c r="G48">
        <v>585</v>
      </c>
      <c r="H48">
        <v>190125</v>
      </c>
      <c r="I48">
        <v>23708</v>
      </c>
    </row>
    <row r="49" spans="1:9">
      <c r="A49" s="2">
        <v>44958</v>
      </c>
      <c r="B49">
        <v>2023</v>
      </c>
      <c r="C49" t="s">
        <v>10</v>
      </c>
      <c r="D49" t="s">
        <v>24</v>
      </c>
      <c r="E49" t="s">
        <v>29</v>
      </c>
      <c r="F49">
        <v>225</v>
      </c>
      <c r="G49">
        <v>612</v>
      </c>
      <c r="H49">
        <v>137700</v>
      </c>
      <c r="I49">
        <v>28072</v>
      </c>
    </row>
    <row r="50" spans="1:9">
      <c r="A50" s="2">
        <v>44958</v>
      </c>
      <c r="B50">
        <v>2023</v>
      </c>
      <c r="C50" t="s">
        <v>10</v>
      </c>
      <c r="D50" t="s">
        <v>24</v>
      </c>
      <c r="E50" t="s">
        <v>30</v>
      </c>
      <c r="F50">
        <v>326</v>
      </c>
      <c r="G50">
        <v>590</v>
      </c>
      <c r="H50">
        <v>192340</v>
      </c>
      <c r="I50">
        <v>46437</v>
      </c>
    </row>
    <row r="51" spans="1:9">
      <c r="A51" s="2">
        <v>44958</v>
      </c>
      <c r="B51">
        <v>2023</v>
      </c>
      <c r="C51" t="s">
        <v>10</v>
      </c>
      <c r="D51" t="s">
        <v>24</v>
      </c>
      <c r="E51" t="s">
        <v>31</v>
      </c>
      <c r="F51">
        <v>249</v>
      </c>
      <c r="G51">
        <v>617</v>
      </c>
      <c r="H51">
        <v>153633</v>
      </c>
      <c r="I51">
        <v>31564</v>
      </c>
    </row>
    <row r="52" spans="1:9">
      <c r="A52" s="2">
        <v>44958</v>
      </c>
      <c r="B52">
        <v>2023</v>
      </c>
      <c r="C52" t="s">
        <v>10</v>
      </c>
      <c r="D52" t="s">
        <v>25</v>
      </c>
      <c r="E52" t="s">
        <v>27</v>
      </c>
      <c r="F52">
        <v>200</v>
      </c>
      <c r="G52">
        <v>229</v>
      </c>
      <c r="H52">
        <v>45800</v>
      </c>
      <c r="I52">
        <v>6324</v>
      </c>
    </row>
    <row r="53" spans="1:9">
      <c r="A53" s="2">
        <v>44958</v>
      </c>
      <c r="B53">
        <v>2023</v>
      </c>
      <c r="C53" t="s">
        <v>10</v>
      </c>
      <c r="D53" t="s">
        <v>25</v>
      </c>
      <c r="E53" t="s">
        <v>28</v>
      </c>
      <c r="F53">
        <v>362</v>
      </c>
      <c r="G53">
        <v>240</v>
      </c>
      <c r="H53">
        <v>86880</v>
      </c>
      <c r="I53">
        <v>15168</v>
      </c>
    </row>
    <row r="54" spans="1:9">
      <c r="A54" s="2">
        <v>44958</v>
      </c>
      <c r="B54">
        <v>2023</v>
      </c>
      <c r="C54" t="s">
        <v>10</v>
      </c>
      <c r="D54" t="s">
        <v>25</v>
      </c>
      <c r="E54" t="s">
        <v>29</v>
      </c>
      <c r="F54">
        <v>200</v>
      </c>
      <c r="G54">
        <v>234</v>
      </c>
      <c r="H54">
        <v>46800</v>
      </c>
      <c r="I54">
        <v>11684</v>
      </c>
    </row>
    <row r="55" spans="1:9">
      <c r="A55" s="2">
        <v>44958</v>
      </c>
      <c r="B55">
        <v>2023</v>
      </c>
      <c r="C55" t="s">
        <v>10</v>
      </c>
      <c r="D55" t="s">
        <v>25</v>
      </c>
      <c r="E55" t="s">
        <v>30</v>
      </c>
      <c r="F55">
        <v>277</v>
      </c>
      <c r="G55">
        <v>263</v>
      </c>
      <c r="H55">
        <v>72851</v>
      </c>
      <c r="I55">
        <v>12778</v>
      </c>
    </row>
    <row r="56" spans="1:9">
      <c r="A56" s="2">
        <v>44958</v>
      </c>
      <c r="B56">
        <v>2023</v>
      </c>
      <c r="C56" t="s">
        <v>10</v>
      </c>
      <c r="D56" t="s">
        <v>25</v>
      </c>
      <c r="E56" t="s">
        <v>31</v>
      </c>
      <c r="F56">
        <v>138</v>
      </c>
      <c r="G56">
        <v>227</v>
      </c>
      <c r="H56">
        <v>31326</v>
      </c>
      <c r="I56">
        <v>4754</v>
      </c>
    </row>
    <row r="57" spans="1:9">
      <c r="A57" s="2">
        <v>44958</v>
      </c>
      <c r="B57">
        <v>2023</v>
      </c>
      <c r="C57" t="s">
        <v>10</v>
      </c>
      <c r="D57" t="s">
        <v>26</v>
      </c>
      <c r="E57" t="s">
        <v>27</v>
      </c>
      <c r="F57">
        <v>213</v>
      </c>
      <c r="G57">
        <v>327</v>
      </c>
      <c r="H57">
        <v>69651</v>
      </c>
      <c r="I57">
        <v>12078</v>
      </c>
    </row>
    <row r="58" spans="1:9">
      <c r="A58" s="2">
        <v>44958</v>
      </c>
      <c r="B58">
        <v>2023</v>
      </c>
      <c r="C58" t="s">
        <v>10</v>
      </c>
      <c r="D58" t="s">
        <v>26</v>
      </c>
      <c r="E58" t="s">
        <v>28</v>
      </c>
      <c r="F58">
        <v>249</v>
      </c>
      <c r="G58">
        <v>363</v>
      </c>
      <c r="H58">
        <v>90387</v>
      </c>
      <c r="I58">
        <v>17074</v>
      </c>
    </row>
    <row r="59" spans="1:9">
      <c r="A59" s="2">
        <v>44958</v>
      </c>
      <c r="B59">
        <v>2023</v>
      </c>
      <c r="C59" t="s">
        <v>10</v>
      </c>
      <c r="D59" t="s">
        <v>26</v>
      </c>
      <c r="E59" t="s">
        <v>29</v>
      </c>
      <c r="F59">
        <v>294</v>
      </c>
      <c r="G59">
        <v>347</v>
      </c>
      <c r="H59">
        <v>102018</v>
      </c>
      <c r="I59">
        <v>13907</v>
      </c>
    </row>
    <row r="60" spans="1:9">
      <c r="A60" s="2">
        <v>44958</v>
      </c>
      <c r="B60">
        <v>2023</v>
      </c>
      <c r="C60" t="s">
        <v>10</v>
      </c>
      <c r="D60" t="s">
        <v>26</v>
      </c>
      <c r="E60" t="s">
        <v>30</v>
      </c>
      <c r="F60">
        <v>389</v>
      </c>
      <c r="G60">
        <v>347</v>
      </c>
      <c r="H60">
        <v>134983</v>
      </c>
      <c r="I60">
        <v>26300</v>
      </c>
    </row>
    <row r="61" spans="1:9">
      <c r="A61" s="2">
        <v>44958</v>
      </c>
      <c r="B61">
        <v>2023</v>
      </c>
      <c r="C61" t="s">
        <v>10</v>
      </c>
      <c r="D61" t="s">
        <v>26</v>
      </c>
      <c r="E61" t="s">
        <v>31</v>
      </c>
      <c r="F61">
        <v>288</v>
      </c>
      <c r="G61">
        <v>349</v>
      </c>
      <c r="H61">
        <v>100512</v>
      </c>
      <c r="I61">
        <v>22360</v>
      </c>
    </row>
    <row r="62" spans="1:9">
      <c r="A62" s="2">
        <v>44986</v>
      </c>
      <c r="B62">
        <v>2023</v>
      </c>
      <c r="C62" t="s">
        <v>11</v>
      </c>
      <c r="D62" t="s">
        <v>21</v>
      </c>
      <c r="E62" t="s">
        <v>27</v>
      </c>
      <c r="F62">
        <v>234</v>
      </c>
      <c r="G62">
        <v>1330</v>
      </c>
      <c r="H62">
        <v>311220</v>
      </c>
      <c r="I62">
        <v>46096</v>
      </c>
    </row>
    <row r="63" spans="1:9">
      <c r="A63" s="2">
        <v>44986</v>
      </c>
      <c r="B63">
        <v>2023</v>
      </c>
      <c r="C63" t="s">
        <v>11</v>
      </c>
      <c r="D63" t="s">
        <v>21</v>
      </c>
      <c r="E63" t="s">
        <v>28</v>
      </c>
      <c r="F63">
        <v>354</v>
      </c>
      <c r="G63">
        <v>1257</v>
      </c>
      <c r="H63">
        <v>444978</v>
      </c>
      <c r="I63">
        <v>89722</v>
      </c>
    </row>
    <row r="64" spans="1:9">
      <c r="A64" s="2">
        <v>44986</v>
      </c>
      <c r="B64">
        <v>2023</v>
      </c>
      <c r="C64" t="s">
        <v>11</v>
      </c>
      <c r="D64" t="s">
        <v>21</v>
      </c>
      <c r="E64" t="s">
        <v>29</v>
      </c>
      <c r="F64">
        <v>237</v>
      </c>
      <c r="G64">
        <v>1184</v>
      </c>
      <c r="H64">
        <v>280608</v>
      </c>
      <c r="I64">
        <v>32108</v>
      </c>
    </row>
    <row r="65" spans="1:9">
      <c r="A65" s="2">
        <v>44986</v>
      </c>
      <c r="B65">
        <v>2023</v>
      </c>
      <c r="C65" t="s">
        <v>11</v>
      </c>
      <c r="D65" t="s">
        <v>21</v>
      </c>
      <c r="E65" t="s">
        <v>30</v>
      </c>
      <c r="F65">
        <v>217</v>
      </c>
      <c r="G65">
        <v>1235</v>
      </c>
      <c r="H65">
        <v>267995</v>
      </c>
      <c r="I65">
        <v>60474</v>
      </c>
    </row>
    <row r="66" spans="1:9">
      <c r="A66" s="2">
        <v>44986</v>
      </c>
      <c r="B66">
        <v>2023</v>
      </c>
      <c r="C66" t="s">
        <v>11</v>
      </c>
      <c r="D66" t="s">
        <v>21</v>
      </c>
      <c r="E66" t="s">
        <v>31</v>
      </c>
      <c r="F66">
        <v>363</v>
      </c>
      <c r="G66">
        <v>1182</v>
      </c>
      <c r="H66">
        <v>429066</v>
      </c>
      <c r="I66">
        <v>50209</v>
      </c>
    </row>
    <row r="67" spans="1:9">
      <c r="A67" s="2">
        <v>44986</v>
      </c>
      <c r="B67">
        <v>2023</v>
      </c>
      <c r="C67" t="s">
        <v>11</v>
      </c>
      <c r="D67" t="s">
        <v>22</v>
      </c>
      <c r="E67" t="s">
        <v>27</v>
      </c>
      <c r="F67">
        <v>241</v>
      </c>
      <c r="G67">
        <v>828</v>
      </c>
      <c r="H67">
        <v>199548</v>
      </c>
      <c r="I67">
        <v>40781</v>
      </c>
    </row>
    <row r="68" spans="1:9">
      <c r="A68" s="2">
        <v>44986</v>
      </c>
      <c r="B68">
        <v>2023</v>
      </c>
      <c r="C68" t="s">
        <v>11</v>
      </c>
      <c r="D68" t="s">
        <v>22</v>
      </c>
      <c r="E68" t="s">
        <v>28</v>
      </c>
      <c r="F68">
        <v>359</v>
      </c>
      <c r="G68">
        <v>851</v>
      </c>
      <c r="H68">
        <v>305509</v>
      </c>
      <c r="I68">
        <v>68001</v>
      </c>
    </row>
    <row r="69" spans="1:9">
      <c r="A69" s="2">
        <v>44986</v>
      </c>
      <c r="B69">
        <v>2023</v>
      </c>
      <c r="C69" t="s">
        <v>11</v>
      </c>
      <c r="D69" t="s">
        <v>22</v>
      </c>
      <c r="E69" t="s">
        <v>29</v>
      </c>
      <c r="F69">
        <v>145</v>
      </c>
      <c r="G69">
        <v>772</v>
      </c>
      <c r="H69">
        <v>111940</v>
      </c>
      <c r="I69">
        <v>27922</v>
      </c>
    </row>
    <row r="70" spans="1:9">
      <c r="A70" s="2">
        <v>44986</v>
      </c>
      <c r="B70">
        <v>2023</v>
      </c>
      <c r="C70" t="s">
        <v>11</v>
      </c>
      <c r="D70" t="s">
        <v>22</v>
      </c>
      <c r="E70" t="s">
        <v>30</v>
      </c>
      <c r="F70">
        <v>349</v>
      </c>
      <c r="G70">
        <v>899</v>
      </c>
      <c r="H70">
        <v>313751</v>
      </c>
      <c r="I70">
        <v>73751</v>
      </c>
    </row>
    <row r="71" spans="1:9">
      <c r="A71" s="2">
        <v>44986</v>
      </c>
      <c r="B71">
        <v>2023</v>
      </c>
      <c r="C71" t="s">
        <v>11</v>
      </c>
      <c r="D71" t="s">
        <v>22</v>
      </c>
      <c r="E71" t="s">
        <v>31</v>
      </c>
      <c r="F71">
        <v>92</v>
      </c>
      <c r="G71">
        <v>775</v>
      </c>
      <c r="H71">
        <v>71300</v>
      </c>
      <c r="I71">
        <v>14620</v>
      </c>
    </row>
    <row r="72" spans="1:9">
      <c r="A72" s="2">
        <v>44986</v>
      </c>
      <c r="B72">
        <v>2023</v>
      </c>
      <c r="C72" t="s">
        <v>11</v>
      </c>
      <c r="D72" t="s">
        <v>23</v>
      </c>
      <c r="E72" t="s">
        <v>27</v>
      </c>
      <c r="F72">
        <v>301</v>
      </c>
      <c r="G72">
        <v>134</v>
      </c>
      <c r="H72">
        <v>40334</v>
      </c>
      <c r="I72">
        <v>9400</v>
      </c>
    </row>
    <row r="73" spans="1:9">
      <c r="A73" s="2">
        <v>44986</v>
      </c>
      <c r="B73">
        <v>2023</v>
      </c>
      <c r="C73" t="s">
        <v>11</v>
      </c>
      <c r="D73" t="s">
        <v>23</v>
      </c>
      <c r="E73" t="s">
        <v>28</v>
      </c>
      <c r="F73">
        <v>208</v>
      </c>
      <c r="G73">
        <v>134</v>
      </c>
      <c r="H73">
        <v>27872</v>
      </c>
      <c r="I73">
        <v>6344</v>
      </c>
    </row>
    <row r="74" spans="1:9">
      <c r="A74" s="2">
        <v>44986</v>
      </c>
      <c r="B74">
        <v>2023</v>
      </c>
      <c r="C74" t="s">
        <v>11</v>
      </c>
      <c r="D74" t="s">
        <v>23</v>
      </c>
      <c r="E74" t="s">
        <v>29</v>
      </c>
      <c r="F74">
        <v>201</v>
      </c>
      <c r="G74">
        <v>112</v>
      </c>
      <c r="H74">
        <v>22512</v>
      </c>
      <c r="I74">
        <v>5285</v>
      </c>
    </row>
    <row r="75" spans="1:9">
      <c r="A75" s="2">
        <v>44986</v>
      </c>
      <c r="B75">
        <v>2023</v>
      </c>
      <c r="C75" t="s">
        <v>11</v>
      </c>
      <c r="D75" t="s">
        <v>23</v>
      </c>
      <c r="E75" t="s">
        <v>30</v>
      </c>
      <c r="F75">
        <v>349</v>
      </c>
      <c r="G75">
        <v>108</v>
      </c>
      <c r="H75">
        <v>37692</v>
      </c>
      <c r="I75">
        <v>4342</v>
      </c>
    </row>
    <row r="76" spans="1:9">
      <c r="A76" s="2">
        <v>44986</v>
      </c>
      <c r="B76">
        <v>2023</v>
      </c>
      <c r="C76" t="s">
        <v>11</v>
      </c>
      <c r="D76" t="s">
        <v>23</v>
      </c>
      <c r="E76" t="s">
        <v>31</v>
      </c>
      <c r="F76">
        <v>186</v>
      </c>
      <c r="G76">
        <v>137</v>
      </c>
      <c r="H76">
        <v>25482</v>
      </c>
      <c r="I76">
        <v>3633</v>
      </c>
    </row>
    <row r="77" spans="1:9">
      <c r="A77" s="2">
        <v>44986</v>
      </c>
      <c r="B77">
        <v>2023</v>
      </c>
      <c r="C77" t="s">
        <v>11</v>
      </c>
      <c r="D77" t="s">
        <v>24</v>
      </c>
      <c r="E77" t="s">
        <v>27</v>
      </c>
      <c r="F77">
        <v>286</v>
      </c>
      <c r="G77">
        <v>643</v>
      </c>
      <c r="H77">
        <v>183898</v>
      </c>
      <c r="I77">
        <v>36373</v>
      </c>
    </row>
    <row r="78" spans="1:9">
      <c r="A78" s="2">
        <v>44986</v>
      </c>
      <c r="B78">
        <v>2023</v>
      </c>
      <c r="C78" t="s">
        <v>11</v>
      </c>
      <c r="D78" t="s">
        <v>24</v>
      </c>
      <c r="E78" t="s">
        <v>28</v>
      </c>
      <c r="F78">
        <v>260</v>
      </c>
      <c r="G78">
        <v>566</v>
      </c>
      <c r="H78">
        <v>147160</v>
      </c>
      <c r="I78">
        <v>15114</v>
      </c>
    </row>
    <row r="79" spans="1:9">
      <c r="A79" s="2">
        <v>44986</v>
      </c>
      <c r="B79">
        <v>2023</v>
      </c>
      <c r="C79" t="s">
        <v>11</v>
      </c>
      <c r="D79" t="s">
        <v>24</v>
      </c>
      <c r="E79" t="s">
        <v>29</v>
      </c>
      <c r="F79">
        <v>373</v>
      </c>
      <c r="G79">
        <v>566</v>
      </c>
      <c r="H79">
        <v>211118</v>
      </c>
      <c r="I79">
        <v>32717</v>
      </c>
    </row>
    <row r="80" spans="1:9">
      <c r="A80" s="2">
        <v>44986</v>
      </c>
      <c r="B80">
        <v>2023</v>
      </c>
      <c r="C80" t="s">
        <v>11</v>
      </c>
      <c r="D80" t="s">
        <v>24</v>
      </c>
      <c r="E80" t="s">
        <v>30</v>
      </c>
      <c r="F80">
        <v>224</v>
      </c>
      <c r="G80">
        <v>648</v>
      </c>
      <c r="H80">
        <v>145152</v>
      </c>
      <c r="I80">
        <v>21222</v>
      </c>
    </row>
    <row r="81" spans="1:9">
      <c r="A81" s="2">
        <v>44986</v>
      </c>
      <c r="B81">
        <v>2023</v>
      </c>
      <c r="C81" t="s">
        <v>11</v>
      </c>
      <c r="D81" t="s">
        <v>24</v>
      </c>
      <c r="E81" t="s">
        <v>31</v>
      </c>
      <c r="F81">
        <v>267</v>
      </c>
      <c r="G81">
        <v>554</v>
      </c>
      <c r="H81">
        <v>147918</v>
      </c>
      <c r="I81">
        <v>22950</v>
      </c>
    </row>
    <row r="82" spans="1:9">
      <c r="A82" s="2">
        <v>44986</v>
      </c>
      <c r="B82">
        <v>2023</v>
      </c>
      <c r="C82" t="s">
        <v>11</v>
      </c>
      <c r="D82" t="s">
        <v>25</v>
      </c>
      <c r="E82" t="s">
        <v>27</v>
      </c>
      <c r="F82">
        <v>106</v>
      </c>
      <c r="G82">
        <v>240</v>
      </c>
      <c r="H82">
        <v>25440</v>
      </c>
      <c r="I82">
        <v>6257</v>
      </c>
    </row>
    <row r="83" spans="1:9">
      <c r="A83" s="2">
        <v>44986</v>
      </c>
      <c r="B83">
        <v>2023</v>
      </c>
      <c r="C83" t="s">
        <v>11</v>
      </c>
      <c r="D83" t="s">
        <v>25</v>
      </c>
      <c r="E83" t="s">
        <v>28</v>
      </c>
      <c r="F83">
        <v>136</v>
      </c>
      <c r="G83">
        <v>280</v>
      </c>
      <c r="H83">
        <v>38080</v>
      </c>
      <c r="I83">
        <v>7413</v>
      </c>
    </row>
    <row r="84" spans="1:9">
      <c r="A84" s="2">
        <v>44986</v>
      </c>
      <c r="B84">
        <v>2023</v>
      </c>
      <c r="C84" t="s">
        <v>11</v>
      </c>
      <c r="D84" t="s">
        <v>25</v>
      </c>
      <c r="E84" t="s">
        <v>29</v>
      </c>
      <c r="F84">
        <v>320</v>
      </c>
      <c r="G84">
        <v>246</v>
      </c>
      <c r="H84">
        <v>78720</v>
      </c>
      <c r="I84">
        <v>15489</v>
      </c>
    </row>
    <row r="85" spans="1:9">
      <c r="A85" s="2">
        <v>44986</v>
      </c>
      <c r="B85">
        <v>2023</v>
      </c>
      <c r="C85" t="s">
        <v>11</v>
      </c>
      <c r="D85" t="s">
        <v>25</v>
      </c>
      <c r="E85" t="s">
        <v>30</v>
      </c>
      <c r="F85">
        <v>415</v>
      </c>
      <c r="G85">
        <v>256</v>
      </c>
      <c r="H85">
        <v>106240</v>
      </c>
      <c r="I85">
        <v>19739</v>
      </c>
    </row>
    <row r="86" spans="1:9">
      <c r="A86" s="2">
        <v>44986</v>
      </c>
      <c r="B86">
        <v>2023</v>
      </c>
      <c r="C86" t="s">
        <v>11</v>
      </c>
      <c r="D86" t="s">
        <v>25</v>
      </c>
      <c r="E86" t="s">
        <v>31</v>
      </c>
      <c r="F86">
        <v>284</v>
      </c>
      <c r="G86">
        <v>265</v>
      </c>
      <c r="H86">
        <v>75260</v>
      </c>
      <c r="I86">
        <v>9525</v>
      </c>
    </row>
    <row r="87" spans="1:9">
      <c r="A87" s="2">
        <v>44986</v>
      </c>
      <c r="B87">
        <v>2023</v>
      </c>
      <c r="C87" t="s">
        <v>11</v>
      </c>
      <c r="D87" t="s">
        <v>26</v>
      </c>
      <c r="E87" t="s">
        <v>27</v>
      </c>
      <c r="F87">
        <v>313</v>
      </c>
      <c r="G87">
        <v>356</v>
      </c>
      <c r="H87">
        <v>111428</v>
      </c>
      <c r="I87">
        <v>15815</v>
      </c>
    </row>
    <row r="88" spans="1:9">
      <c r="A88" s="2">
        <v>44986</v>
      </c>
      <c r="B88">
        <v>2023</v>
      </c>
      <c r="C88" t="s">
        <v>11</v>
      </c>
      <c r="D88" t="s">
        <v>26</v>
      </c>
      <c r="E88" t="s">
        <v>28</v>
      </c>
      <c r="F88">
        <v>89</v>
      </c>
      <c r="G88">
        <v>347</v>
      </c>
      <c r="H88">
        <v>30883</v>
      </c>
      <c r="I88">
        <v>3159</v>
      </c>
    </row>
    <row r="89" spans="1:9">
      <c r="A89" s="2">
        <v>44986</v>
      </c>
      <c r="B89">
        <v>2023</v>
      </c>
      <c r="C89" t="s">
        <v>11</v>
      </c>
      <c r="D89" t="s">
        <v>26</v>
      </c>
      <c r="E89" t="s">
        <v>29</v>
      </c>
      <c r="F89">
        <v>376</v>
      </c>
      <c r="G89">
        <v>343</v>
      </c>
      <c r="H89">
        <v>128968</v>
      </c>
      <c r="I89">
        <v>23590</v>
      </c>
    </row>
    <row r="90" spans="1:9">
      <c r="A90" s="2">
        <v>44986</v>
      </c>
      <c r="B90">
        <v>2023</v>
      </c>
      <c r="C90" t="s">
        <v>11</v>
      </c>
      <c r="D90" t="s">
        <v>26</v>
      </c>
      <c r="E90" t="s">
        <v>30</v>
      </c>
      <c r="F90">
        <v>182</v>
      </c>
      <c r="G90">
        <v>399</v>
      </c>
      <c r="H90">
        <v>72618</v>
      </c>
      <c r="I90">
        <v>16553</v>
      </c>
    </row>
    <row r="91" spans="1:9">
      <c r="A91" s="2">
        <v>44986</v>
      </c>
      <c r="B91">
        <v>2023</v>
      </c>
      <c r="C91" t="s">
        <v>11</v>
      </c>
      <c r="D91" t="s">
        <v>26</v>
      </c>
      <c r="E91" t="s">
        <v>31</v>
      </c>
      <c r="F91">
        <v>283</v>
      </c>
      <c r="G91">
        <v>341</v>
      </c>
      <c r="H91">
        <v>96503</v>
      </c>
      <c r="I91">
        <v>12413</v>
      </c>
    </row>
    <row r="92" spans="1:9">
      <c r="A92" s="2">
        <v>45017</v>
      </c>
      <c r="B92">
        <v>2023</v>
      </c>
      <c r="C92" t="s">
        <v>12</v>
      </c>
      <c r="D92" t="s">
        <v>21</v>
      </c>
      <c r="E92" t="s">
        <v>27</v>
      </c>
      <c r="F92">
        <v>250</v>
      </c>
      <c r="G92">
        <v>1175</v>
      </c>
      <c r="H92">
        <v>293750</v>
      </c>
      <c r="I92">
        <v>36843</v>
      </c>
    </row>
    <row r="93" spans="1:9">
      <c r="A93" s="2">
        <v>45017</v>
      </c>
      <c r="B93">
        <v>2023</v>
      </c>
      <c r="C93" t="s">
        <v>12</v>
      </c>
      <c r="D93" t="s">
        <v>21</v>
      </c>
      <c r="E93" t="s">
        <v>28</v>
      </c>
      <c r="F93">
        <v>375</v>
      </c>
      <c r="G93">
        <v>1198</v>
      </c>
      <c r="H93">
        <v>449250</v>
      </c>
      <c r="I93">
        <v>101814</v>
      </c>
    </row>
    <row r="94" spans="1:9">
      <c r="A94" s="2">
        <v>45017</v>
      </c>
      <c r="B94">
        <v>2023</v>
      </c>
      <c r="C94" t="s">
        <v>12</v>
      </c>
      <c r="D94" t="s">
        <v>21</v>
      </c>
      <c r="E94" t="s">
        <v>29</v>
      </c>
      <c r="F94">
        <v>263</v>
      </c>
      <c r="G94">
        <v>1109</v>
      </c>
      <c r="H94">
        <v>291667</v>
      </c>
      <c r="I94">
        <v>56073</v>
      </c>
    </row>
    <row r="95" spans="1:9">
      <c r="A95" s="2">
        <v>45017</v>
      </c>
      <c r="B95">
        <v>2023</v>
      </c>
      <c r="C95" t="s">
        <v>12</v>
      </c>
      <c r="D95" t="s">
        <v>21</v>
      </c>
      <c r="E95" t="s">
        <v>30</v>
      </c>
      <c r="F95">
        <v>239</v>
      </c>
      <c r="G95">
        <v>1122</v>
      </c>
      <c r="H95">
        <v>268158</v>
      </c>
      <c r="I95">
        <v>47664</v>
      </c>
    </row>
    <row r="96" spans="1:9">
      <c r="A96" s="2">
        <v>45017</v>
      </c>
      <c r="B96">
        <v>2023</v>
      </c>
      <c r="C96" t="s">
        <v>12</v>
      </c>
      <c r="D96" t="s">
        <v>21</v>
      </c>
      <c r="E96" t="s">
        <v>31</v>
      </c>
      <c r="F96">
        <v>367</v>
      </c>
      <c r="G96">
        <v>1334</v>
      </c>
      <c r="H96">
        <v>489578</v>
      </c>
      <c r="I96">
        <v>58990</v>
      </c>
    </row>
    <row r="97" spans="1:9">
      <c r="A97" s="2">
        <v>45017</v>
      </c>
      <c r="B97">
        <v>2023</v>
      </c>
      <c r="C97" t="s">
        <v>12</v>
      </c>
      <c r="D97" t="s">
        <v>22</v>
      </c>
      <c r="E97" t="s">
        <v>27</v>
      </c>
      <c r="F97">
        <v>339</v>
      </c>
      <c r="G97">
        <v>791</v>
      </c>
      <c r="H97">
        <v>268149</v>
      </c>
      <c r="I97">
        <v>38623</v>
      </c>
    </row>
    <row r="98" spans="1:9">
      <c r="A98" s="2">
        <v>45017</v>
      </c>
      <c r="B98">
        <v>2023</v>
      </c>
      <c r="C98" t="s">
        <v>12</v>
      </c>
      <c r="D98" t="s">
        <v>22</v>
      </c>
      <c r="E98" t="s">
        <v>28</v>
      </c>
      <c r="F98">
        <v>340</v>
      </c>
      <c r="G98">
        <v>803</v>
      </c>
      <c r="H98">
        <v>273020</v>
      </c>
      <c r="I98">
        <v>37794</v>
      </c>
    </row>
    <row r="99" spans="1:9">
      <c r="A99" s="2">
        <v>45017</v>
      </c>
      <c r="B99">
        <v>2023</v>
      </c>
      <c r="C99" t="s">
        <v>12</v>
      </c>
      <c r="D99" t="s">
        <v>22</v>
      </c>
      <c r="E99" t="s">
        <v>29</v>
      </c>
      <c r="F99">
        <v>95</v>
      </c>
      <c r="G99">
        <v>736</v>
      </c>
      <c r="H99">
        <v>69920</v>
      </c>
      <c r="I99">
        <v>7046</v>
      </c>
    </row>
    <row r="100" spans="1:9">
      <c r="A100" s="2">
        <v>45017</v>
      </c>
      <c r="B100">
        <v>2023</v>
      </c>
      <c r="C100" t="s">
        <v>12</v>
      </c>
      <c r="D100" t="s">
        <v>22</v>
      </c>
      <c r="E100" t="s">
        <v>30</v>
      </c>
      <c r="F100">
        <v>119</v>
      </c>
      <c r="G100">
        <v>879</v>
      </c>
      <c r="H100">
        <v>104601</v>
      </c>
      <c r="I100">
        <v>20658</v>
      </c>
    </row>
    <row r="101" spans="1:9">
      <c r="A101" s="2">
        <v>45017</v>
      </c>
      <c r="B101">
        <v>2023</v>
      </c>
      <c r="C101" t="s">
        <v>12</v>
      </c>
      <c r="D101" t="s">
        <v>22</v>
      </c>
      <c r="E101" t="s">
        <v>31</v>
      </c>
      <c r="F101">
        <v>230</v>
      </c>
      <c r="G101">
        <v>898</v>
      </c>
      <c r="H101">
        <v>206540</v>
      </c>
      <c r="I101">
        <v>31125</v>
      </c>
    </row>
    <row r="102" spans="1:9">
      <c r="A102" s="2">
        <v>45017</v>
      </c>
      <c r="B102">
        <v>2023</v>
      </c>
      <c r="C102" t="s">
        <v>12</v>
      </c>
      <c r="D102" t="s">
        <v>23</v>
      </c>
      <c r="E102" t="s">
        <v>27</v>
      </c>
      <c r="F102">
        <v>178</v>
      </c>
      <c r="G102">
        <v>125</v>
      </c>
      <c r="H102">
        <v>22250</v>
      </c>
      <c r="I102">
        <v>3688</v>
      </c>
    </row>
    <row r="103" spans="1:9">
      <c r="A103" s="2">
        <v>45017</v>
      </c>
      <c r="B103">
        <v>2023</v>
      </c>
      <c r="C103" t="s">
        <v>12</v>
      </c>
      <c r="D103" t="s">
        <v>23</v>
      </c>
      <c r="E103" t="s">
        <v>28</v>
      </c>
      <c r="F103">
        <v>135</v>
      </c>
      <c r="G103">
        <v>121</v>
      </c>
      <c r="H103">
        <v>16335</v>
      </c>
      <c r="I103">
        <v>2963</v>
      </c>
    </row>
    <row r="104" spans="1:9">
      <c r="A104" s="2">
        <v>45017</v>
      </c>
      <c r="B104">
        <v>2023</v>
      </c>
      <c r="C104" t="s">
        <v>12</v>
      </c>
      <c r="D104" t="s">
        <v>23</v>
      </c>
      <c r="E104" t="s">
        <v>29</v>
      </c>
      <c r="F104">
        <v>212</v>
      </c>
      <c r="G104">
        <v>133</v>
      </c>
      <c r="H104">
        <v>28196</v>
      </c>
      <c r="I104">
        <v>6458</v>
      </c>
    </row>
    <row r="105" spans="1:9">
      <c r="A105" s="2">
        <v>45017</v>
      </c>
      <c r="B105">
        <v>2023</v>
      </c>
      <c r="C105" t="s">
        <v>12</v>
      </c>
      <c r="D105" t="s">
        <v>23</v>
      </c>
      <c r="E105" t="s">
        <v>30</v>
      </c>
      <c r="F105">
        <v>400</v>
      </c>
      <c r="G105">
        <v>109</v>
      </c>
      <c r="H105">
        <v>43600</v>
      </c>
      <c r="I105">
        <v>9739</v>
      </c>
    </row>
    <row r="106" spans="1:9">
      <c r="A106" s="2">
        <v>45017</v>
      </c>
      <c r="B106">
        <v>2023</v>
      </c>
      <c r="C106" t="s">
        <v>12</v>
      </c>
      <c r="D106" t="s">
        <v>23</v>
      </c>
      <c r="E106" t="s">
        <v>31</v>
      </c>
      <c r="F106">
        <v>138</v>
      </c>
      <c r="G106">
        <v>124</v>
      </c>
      <c r="H106">
        <v>17112</v>
      </c>
      <c r="I106">
        <v>2549</v>
      </c>
    </row>
    <row r="107" spans="1:9">
      <c r="A107" s="2">
        <v>45017</v>
      </c>
      <c r="B107">
        <v>2023</v>
      </c>
      <c r="C107" t="s">
        <v>12</v>
      </c>
      <c r="D107" t="s">
        <v>24</v>
      </c>
      <c r="E107" t="s">
        <v>27</v>
      </c>
      <c r="F107">
        <v>357</v>
      </c>
      <c r="G107">
        <v>655</v>
      </c>
      <c r="H107">
        <v>233835</v>
      </c>
      <c r="I107">
        <v>30953</v>
      </c>
    </row>
    <row r="108" spans="1:9">
      <c r="A108" s="2">
        <v>45017</v>
      </c>
      <c r="B108">
        <v>2023</v>
      </c>
      <c r="C108" t="s">
        <v>12</v>
      </c>
      <c r="D108" t="s">
        <v>24</v>
      </c>
      <c r="E108" t="s">
        <v>28</v>
      </c>
      <c r="F108">
        <v>87</v>
      </c>
      <c r="G108">
        <v>608</v>
      </c>
      <c r="H108">
        <v>52896</v>
      </c>
      <c r="I108">
        <v>11970</v>
      </c>
    </row>
    <row r="109" spans="1:9">
      <c r="A109" s="2">
        <v>45017</v>
      </c>
      <c r="B109">
        <v>2023</v>
      </c>
      <c r="C109" t="s">
        <v>12</v>
      </c>
      <c r="D109" t="s">
        <v>24</v>
      </c>
      <c r="E109" t="s">
        <v>29</v>
      </c>
      <c r="F109">
        <v>131</v>
      </c>
      <c r="G109">
        <v>644</v>
      </c>
      <c r="H109">
        <v>84364</v>
      </c>
      <c r="I109">
        <v>10187</v>
      </c>
    </row>
    <row r="110" spans="1:9">
      <c r="A110" s="2">
        <v>45017</v>
      </c>
      <c r="B110">
        <v>2023</v>
      </c>
      <c r="C110" t="s">
        <v>12</v>
      </c>
      <c r="D110" t="s">
        <v>24</v>
      </c>
      <c r="E110" t="s">
        <v>30</v>
      </c>
      <c r="F110">
        <v>232</v>
      </c>
      <c r="G110">
        <v>686</v>
      </c>
      <c r="H110">
        <v>159152</v>
      </c>
      <c r="I110">
        <v>28240</v>
      </c>
    </row>
    <row r="111" spans="1:9">
      <c r="A111" s="2">
        <v>45017</v>
      </c>
      <c r="B111">
        <v>2023</v>
      </c>
      <c r="C111" t="s">
        <v>12</v>
      </c>
      <c r="D111" t="s">
        <v>24</v>
      </c>
      <c r="E111" t="s">
        <v>31</v>
      </c>
      <c r="F111">
        <v>247</v>
      </c>
      <c r="G111">
        <v>546</v>
      </c>
      <c r="H111">
        <v>134862</v>
      </c>
      <c r="I111">
        <v>21554</v>
      </c>
    </row>
    <row r="112" spans="1:9">
      <c r="A112" s="2">
        <v>45017</v>
      </c>
      <c r="B112">
        <v>2023</v>
      </c>
      <c r="C112" t="s">
        <v>12</v>
      </c>
      <c r="D112" t="s">
        <v>25</v>
      </c>
      <c r="E112" t="s">
        <v>27</v>
      </c>
      <c r="F112">
        <v>369</v>
      </c>
      <c r="G112">
        <v>252</v>
      </c>
      <c r="H112">
        <v>92988</v>
      </c>
      <c r="I112">
        <v>10393</v>
      </c>
    </row>
    <row r="113" spans="1:9">
      <c r="A113" s="2">
        <v>45017</v>
      </c>
      <c r="B113">
        <v>2023</v>
      </c>
      <c r="C113" t="s">
        <v>12</v>
      </c>
      <c r="D113" t="s">
        <v>25</v>
      </c>
      <c r="E113" t="s">
        <v>28</v>
      </c>
      <c r="F113">
        <v>321</v>
      </c>
      <c r="G113">
        <v>236</v>
      </c>
      <c r="H113">
        <v>75756</v>
      </c>
      <c r="I113">
        <v>8494</v>
      </c>
    </row>
    <row r="114" spans="1:9">
      <c r="A114" s="2">
        <v>45017</v>
      </c>
      <c r="B114">
        <v>2023</v>
      </c>
      <c r="C114" t="s">
        <v>12</v>
      </c>
      <c r="D114" t="s">
        <v>25</v>
      </c>
      <c r="E114" t="s">
        <v>29</v>
      </c>
      <c r="F114">
        <v>214</v>
      </c>
      <c r="G114">
        <v>268</v>
      </c>
      <c r="H114">
        <v>57352</v>
      </c>
      <c r="I114">
        <v>9253</v>
      </c>
    </row>
    <row r="115" spans="1:9">
      <c r="A115" s="2">
        <v>45017</v>
      </c>
      <c r="B115">
        <v>2023</v>
      </c>
      <c r="C115" t="s">
        <v>12</v>
      </c>
      <c r="D115" t="s">
        <v>25</v>
      </c>
      <c r="E115" t="s">
        <v>30</v>
      </c>
      <c r="F115">
        <v>142</v>
      </c>
      <c r="G115">
        <v>282</v>
      </c>
      <c r="H115">
        <v>40044</v>
      </c>
      <c r="I115">
        <v>6661</v>
      </c>
    </row>
    <row r="116" spans="1:9">
      <c r="A116" s="2">
        <v>45017</v>
      </c>
      <c r="B116">
        <v>2023</v>
      </c>
      <c r="C116" t="s">
        <v>12</v>
      </c>
      <c r="D116" t="s">
        <v>25</v>
      </c>
      <c r="E116" t="s">
        <v>31</v>
      </c>
      <c r="F116">
        <v>182</v>
      </c>
      <c r="G116">
        <v>259</v>
      </c>
      <c r="H116">
        <v>47138</v>
      </c>
      <c r="I116">
        <v>9766</v>
      </c>
    </row>
    <row r="117" spans="1:9">
      <c r="A117" s="2">
        <v>45017</v>
      </c>
      <c r="B117">
        <v>2023</v>
      </c>
      <c r="C117" t="s">
        <v>12</v>
      </c>
      <c r="D117" t="s">
        <v>26</v>
      </c>
      <c r="E117" t="s">
        <v>27</v>
      </c>
      <c r="F117">
        <v>329</v>
      </c>
      <c r="G117">
        <v>339</v>
      </c>
      <c r="H117">
        <v>111531</v>
      </c>
      <c r="I117">
        <v>27127</v>
      </c>
    </row>
    <row r="118" spans="1:9">
      <c r="A118" s="2">
        <v>45017</v>
      </c>
      <c r="B118">
        <v>2023</v>
      </c>
      <c r="C118" t="s">
        <v>12</v>
      </c>
      <c r="D118" t="s">
        <v>26</v>
      </c>
      <c r="E118" t="s">
        <v>28</v>
      </c>
      <c r="F118">
        <v>282</v>
      </c>
      <c r="G118">
        <v>363</v>
      </c>
      <c r="H118">
        <v>102366</v>
      </c>
      <c r="I118">
        <v>19629</v>
      </c>
    </row>
    <row r="119" spans="1:9">
      <c r="A119" s="2">
        <v>45017</v>
      </c>
      <c r="B119">
        <v>2023</v>
      </c>
      <c r="C119" t="s">
        <v>12</v>
      </c>
      <c r="D119" t="s">
        <v>26</v>
      </c>
      <c r="E119" t="s">
        <v>29</v>
      </c>
      <c r="F119">
        <v>340</v>
      </c>
      <c r="G119">
        <v>319</v>
      </c>
      <c r="H119">
        <v>108460</v>
      </c>
      <c r="I119">
        <v>20054</v>
      </c>
    </row>
    <row r="120" spans="1:9">
      <c r="A120" s="2">
        <v>45017</v>
      </c>
      <c r="B120">
        <v>2023</v>
      </c>
      <c r="C120" t="s">
        <v>12</v>
      </c>
      <c r="D120" t="s">
        <v>26</v>
      </c>
      <c r="E120" t="s">
        <v>30</v>
      </c>
      <c r="F120">
        <v>172</v>
      </c>
      <c r="G120">
        <v>316</v>
      </c>
      <c r="H120">
        <v>54352</v>
      </c>
      <c r="I120">
        <v>6381</v>
      </c>
    </row>
    <row r="121" spans="1:9">
      <c r="A121" s="2">
        <v>45017</v>
      </c>
      <c r="B121">
        <v>2023</v>
      </c>
      <c r="C121" t="s">
        <v>12</v>
      </c>
      <c r="D121" t="s">
        <v>26</v>
      </c>
      <c r="E121" t="s">
        <v>31</v>
      </c>
      <c r="F121">
        <v>154</v>
      </c>
      <c r="G121">
        <v>323</v>
      </c>
      <c r="H121">
        <v>49742</v>
      </c>
      <c r="I121">
        <v>7297</v>
      </c>
    </row>
    <row r="122" spans="1:9">
      <c r="A122" s="2">
        <v>45047</v>
      </c>
      <c r="B122">
        <v>2023</v>
      </c>
      <c r="C122" t="s">
        <v>13</v>
      </c>
      <c r="D122" t="s">
        <v>21</v>
      </c>
      <c r="E122" t="s">
        <v>27</v>
      </c>
      <c r="F122">
        <v>290</v>
      </c>
      <c r="G122">
        <v>1085</v>
      </c>
      <c r="H122">
        <v>314650</v>
      </c>
      <c r="I122">
        <v>67493</v>
      </c>
    </row>
    <row r="123" spans="1:9">
      <c r="A123" s="2">
        <v>45047</v>
      </c>
      <c r="B123">
        <v>2023</v>
      </c>
      <c r="C123" t="s">
        <v>13</v>
      </c>
      <c r="D123" t="s">
        <v>21</v>
      </c>
      <c r="E123" t="s">
        <v>28</v>
      </c>
      <c r="F123">
        <v>120</v>
      </c>
      <c r="G123">
        <v>1183</v>
      </c>
      <c r="H123">
        <v>141960</v>
      </c>
      <c r="I123">
        <v>24090</v>
      </c>
    </row>
    <row r="124" spans="1:9">
      <c r="A124" s="2">
        <v>45047</v>
      </c>
      <c r="B124">
        <v>2023</v>
      </c>
      <c r="C124" t="s">
        <v>13</v>
      </c>
      <c r="D124" t="s">
        <v>21</v>
      </c>
      <c r="E124" t="s">
        <v>29</v>
      </c>
      <c r="F124">
        <v>104</v>
      </c>
      <c r="G124">
        <v>1094</v>
      </c>
      <c r="H124">
        <v>113776</v>
      </c>
      <c r="I124">
        <v>27576</v>
      </c>
    </row>
    <row r="125" spans="1:9">
      <c r="A125" s="2">
        <v>45047</v>
      </c>
      <c r="B125">
        <v>2023</v>
      </c>
      <c r="C125" t="s">
        <v>13</v>
      </c>
      <c r="D125" t="s">
        <v>21</v>
      </c>
      <c r="E125" t="s">
        <v>30</v>
      </c>
      <c r="F125">
        <v>183</v>
      </c>
      <c r="G125">
        <v>1093</v>
      </c>
      <c r="H125">
        <v>200019</v>
      </c>
      <c r="I125">
        <v>31241</v>
      </c>
    </row>
    <row r="126" spans="1:9">
      <c r="A126" s="2">
        <v>45047</v>
      </c>
      <c r="B126">
        <v>2023</v>
      </c>
      <c r="C126" t="s">
        <v>13</v>
      </c>
      <c r="D126" t="s">
        <v>21</v>
      </c>
      <c r="E126" t="s">
        <v>31</v>
      </c>
      <c r="F126">
        <v>337</v>
      </c>
      <c r="G126">
        <v>1360</v>
      </c>
      <c r="H126">
        <v>458320</v>
      </c>
      <c r="I126">
        <v>80277</v>
      </c>
    </row>
    <row r="127" spans="1:9">
      <c r="A127" s="2">
        <v>45047</v>
      </c>
      <c r="B127">
        <v>2023</v>
      </c>
      <c r="C127" t="s">
        <v>13</v>
      </c>
      <c r="D127" t="s">
        <v>22</v>
      </c>
      <c r="E127" t="s">
        <v>27</v>
      </c>
      <c r="F127">
        <v>85</v>
      </c>
      <c r="G127">
        <v>843</v>
      </c>
      <c r="H127">
        <v>71655</v>
      </c>
      <c r="I127">
        <v>17310</v>
      </c>
    </row>
    <row r="128" spans="1:9">
      <c r="A128" s="2">
        <v>45047</v>
      </c>
      <c r="B128">
        <v>2023</v>
      </c>
      <c r="C128" t="s">
        <v>13</v>
      </c>
      <c r="D128" t="s">
        <v>22</v>
      </c>
      <c r="E128" t="s">
        <v>28</v>
      </c>
      <c r="F128">
        <v>345</v>
      </c>
      <c r="G128">
        <v>725</v>
      </c>
      <c r="H128">
        <v>250125</v>
      </c>
      <c r="I128">
        <v>46990</v>
      </c>
    </row>
    <row r="129" spans="1:9">
      <c r="A129" s="2">
        <v>45047</v>
      </c>
      <c r="B129">
        <v>2023</v>
      </c>
      <c r="C129" t="s">
        <v>13</v>
      </c>
      <c r="D129" t="s">
        <v>22</v>
      </c>
      <c r="E129" t="s">
        <v>29</v>
      </c>
      <c r="F129">
        <v>236</v>
      </c>
      <c r="G129">
        <v>855</v>
      </c>
      <c r="H129">
        <v>201780</v>
      </c>
      <c r="I129">
        <v>37532</v>
      </c>
    </row>
    <row r="130" spans="1:9">
      <c r="A130" s="2">
        <v>45047</v>
      </c>
      <c r="B130">
        <v>2023</v>
      </c>
      <c r="C130" t="s">
        <v>13</v>
      </c>
      <c r="D130" t="s">
        <v>22</v>
      </c>
      <c r="E130" t="s">
        <v>30</v>
      </c>
      <c r="F130">
        <v>114</v>
      </c>
      <c r="G130">
        <v>811</v>
      </c>
      <c r="H130">
        <v>92454</v>
      </c>
      <c r="I130">
        <v>16812</v>
      </c>
    </row>
    <row r="131" spans="1:9">
      <c r="A131" s="2">
        <v>45047</v>
      </c>
      <c r="B131">
        <v>2023</v>
      </c>
      <c r="C131" t="s">
        <v>13</v>
      </c>
      <c r="D131" t="s">
        <v>22</v>
      </c>
      <c r="E131" t="s">
        <v>31</v>
      </c>
      <c r="F131">
        <v>184</v>
      </c>
      <c r="G131">
        <v>845</v>
      </c>
      <c r="H131">
        <v>155480</v>
      </c>
      <c r="I131">
        <v>34681</v>
      </c>
    </row>
    <row r="132" spans="1:9">
      <c r="A132" s="2">
        <v>45047</v>
      </c>
      <c r="B132">
        <v>2023</v>
      </c>
      <c r="C132" t="s">
        <v>13</v>
      </c>
      <c r="D132" t="s">
        <v>23</v>
      </c>
      <c r="E132" t="s">
        <v>27</v>
      </c>
      <c r="F132">
        <v>253</v>
      </c>
      <c r="G132">
        <v>135</v>
      </c>
      <c r="H132">
        <v>34155</v>
      </c>
      <c r="I132">
        <v>4418</v>
      </c>
    </row>
    <row r="133" spans="1:9">
      <c r="A133" s="2">
        <v>45047</v>
      </c>
      <c r="B133">
        <v>2023</v>
      </c>
      <c r="C133" t="s">
        <v>13</v>
      </c>
      <c r="D133" t="s">
        <v>23</v>
      </c>
      <c r="E133" t="s">
        <v>28</v>
      </c>
      <c r="F133">
        <v>93</v>
      </c>
      <c r="G133">
        <v>111</v>
      </c>
      <c r="H133">
        <v>10323</v>
      </c>
      <c r="I133">
        <v>1060</v>
      </c>
    </row>
    <row r="134" spans="1:9">
      <c r="A134" s="2">
        <v>45047</v>
      </c>
      <c r="B134">
        <v>2023</v>
      </c>
      <c r="C134" t="s">
        <v>13</v>
      </c>
      <c r="D134" t="s">
        <v>23</v>
      </c>
      <c r="E134" t="s">
        <v>29</v>
      </c>
      <c r="F134">
        <v>329</v>
      </c>
      <c r="G134">
        <v>128</v>
      </c>
      <c r="H134">
        <v>42112</v>
      </c>
      <c r="I134">
        <v>4660</v>
      </c>
    </row>
    <row r="135" spans="1:9">
      <c r="A135" s="2">
        <v>45047</v>
      </c>
      <c r="B135">
        <v>2023</v>
      </c>
      <c r="C135" t="s">
        <v>13</v>
      </c>
      <c r="D135" t="s">
        <v>23</v>
      </c>
      <c r="E135" t="s">
        <v>30</v>
      </c>
      <c r="F135">
        <v>351</v>
      </c>
      <c r="G135">
        <v>119</v>
      </c>
      <c r="H135">
        <v>41769</v>
      </c>
      <c r="I135">
        <v>8447</v>
      </c>
    </row>
    <row r="136" spans="1:9">
      <c r="A136" s="2">
        <v>45047</v>
      </c>
      <c r="B136">
        <v>2023</v>
      </c>
      <c r="C136" t="s">
        <v>13</v>
      </c>
      <c r="D136" t="s">
        <v>23</v>
      </c>
      <c r="E136" t="s">
        <v>31</v>
      </c>
      <c r="F136">
        <v>198</v>
      </c>
      <c r="G136">
        <v>116</v>
      </c>
      <c r="H136">
        <v>22968</v>
      </c>
      <c r="I136">
        <v>2703</v>
      </c>
    </row>
    <row r="137" spans="1:9">
      <c r="A137" s="2">
        <v>45047</v>
      </c>
      <c r="B137">
        <v>2023</v>
      </c>
      <c r="C137" t="s">
        <v>13</v>
      </c>
      <c r="D137" t="s">
        <v>24</v>
      </c>
      <c r="E137" t="s">
        <v>27</v>
      </c>
      <c r="F137">
        <v>197</v>
      </c>
      <c r="G137">
        <v>634</v>
      </c>
      <c r="H137">
        <v>124898</v>
      </c>
      <c r="I137">
        <v>28928</v>
      </c>
    </row>
    <row r="138" spans="1:9">
      <c r="A138" s="2">
        <v>45047</v>
      </c>
      <c r="B138">
        <v>2023</v>
      </c>
      <c r="C138" t="s">
        <v>13</v>
      </c>
      <c r="D138" t="s">
        <v>24</v>
      </c>
      <c r="E138" t="s">
        <v>28</v>
      </c>
      <c r="F138">
        <v>303</v>
      </c>
      <c r="G138">
        <v>660</v>
      </c>
      <c r="H138">
        <v>199980</v>
      </c>
      <c r="I138">
        <v>28458</v>
      </c>
    </row>
    <row r="139" spans="1:9">
      <c r="A139" s="2">
        <v>45047</v>
      </c>
      <c r="B139">
        <v>2023</v>
      </c>
      <c r="C139" t="s">
        <v>13</v>
      </c>
      <c r="D139" t="s">
        <v>24</v>
      </c>
      <c r="E139" t="s">
        <v>29</v>
      </c>
      <c r="F139">
        <v>277</v>
      </c>
      <c r="G139">
        <v>626</v>
      </c>
      <c r="H139">
        <v>173402</v>
      </c>
      <c r="I139">
        <v>36370</v>
      </c>
    </row>
    <row r="140" spans="1:9">
      <c r="A140" s="2">
        <v>45047</v>
      </c>
      <c r="B140">
        <v>2023</v>
      </c>
      <c r="C140" t="s">
        <v>13</v>
      </c>
      <c r="D140" t="s">
        <v>24</v>
      </c>
      <c r="E140" t="s">
        <v>30</v>
      </c>
      <c r="F140">
        <v>117</v>
      </c>
      <c r="G140">
        <v>595</v>
      </c>
      <c r="H140">
        <v>69615</v>
      </c>
      <c r="I140">
        <v>15068</v>
      </c>
    </row>
    <row r="141" spans="1:9">
      <c r="A141" s="2">
        <v>45047</v>
      </c>
      <c r="B141">
        <v>2023</v>
      </c>
      <c r="C141" t="s">
        <v>13</v>
      </c>
      <c r="D141" t="s">
        <v>24</v>
      </c>
      <c r="E141" t="s">
        <v>31</v>
      </c>
      <c r="F141">
        <v>236</v>
      </c>
      <c r="G141">
        <v>670</v>
      </c>
      <c r="H141">
        <v>158120</v>
      </c>
      <c r="I141">
        <v>29138</v>
      </c>
    </row>
    <row r="142" spans="1:9">
      <c r="A142" s="2">
        <v>45047</v>
      </c>
      <c r="B142">
        <v>2023</v>
      </c>
      <c r="C142" t="s">
        <v>13</v>
      </c>
      <c r="D142" t="s">
        <v>25</v>
      </c>
      <c r="E142" t="s">
        <v>27</v>
      </c>
      <c r="F142">
        <v>355</v>
      </c>
      <c r="G142">
        <v>251</v>
      </c>
      <c r="H142">
        <v>89105</v>
      </c>
      <c r="I142">
        <v>18946</v>
      </c>
    </row>
    <row r="143" spans="1:9">
      <c r="A143" s="2">
        <v>45047</v>
      </c>
      <c r="B143">
        <v>2023</v>
      </c>
      <c r="C143" t="s">
        <v>13</v>
      </c>
      <c r="D143" t="s">
        <v>25</v>
      </c>
      <c r="E143" t="s">
        <v>28</v>
      </c>
      <c r="F143">
        <v>303</v>
      </c>
      <c r="G143">
        <v>239</v>
      </c>
      <c r="H143">
        <v>72417</v>
      </c>
      <c r="I143">
        <v>11344</v>
      </c>
    </row>
    <row r="144" spans="1:9">
      <c r="A144" s="2">
        <v>45047</v>
      </c>
      <c r="B144">
        <v>2023</v>
      </c>
      <c r="C144" t="s">
        <v>13</v>
      </c>
      <c r="D144" t="s">
        <v>25</v>
      </c>
      <c r="E144" t="s">
        <v>29</v>
      </c>
      <c r="F144">
        <v>144</v>
      </c>
      <c r="G144">
        <v>256</v>
      </c>
      <c r="H144">
        <v>36864</v>
      </c>
      <c r="I144">
        <v>5840</v>
      </c>
    </row>
    <row r="145" spans="1:9">
      <c r="A145" s="2">
        <v>45047</v>
      </c>
      <c r="B145">
        <v>2023</v>
      </c>
      <c r="C145" t="s">
        <v>13</v>
      </c>
      <c r="D145" t="s">
        <v>25</v>
      </c>
      <c r="E145" t="s">
        <v>30</v>
      </c>
      <c r="F145">
        <v>272</v>
      </c>
      <c r="G145">
        <v>231</v>
      </c>
      <c r="H145">
        <v>62832</v>
      </c>
      <c r="I145">
        <v>6787</v>
      </c>
    </row>
    <row r="146" spans="1:9">
      <c r="A146" s="2">
        <v>45047</v>
      </c>
      <c r="B146">
        <v>2023</v>
      </c>
      <c r="C146" t="s">
        <v>13</v>
      </c>
      <c r="D146" t="s">
        <v>25</v>
      </c>
      <c r="E146" t="s">
        <v>31</v>
      </c>
      <c r="F146">
        <v>319</v>
      </c>
      <c r="G146">
        <v>277</v>
      </c>
      <c r="H146">
        <v>88363</v>
      </c>
      <c r="I146">
        <v>13540</v>
      </c>
    </row>
    <row r="147" spans="1:9">
      <c r="A147" s="2">
        <v>45047</v>
      </c>
      <c r="B147">
        <v>2023</v>
      </c>
      <c r="C147" t="s">
        <v>13</v>
      </c>
      <c r="D147" t="s">
        <v>26</v>
      </c>
      <c r="E147" t="s">
        <v>27</v>
      </c>
      <c r="F147">
        <v>372</v>
      </c>
      <c r="G147">
        <v>398</v>
      </c>
      <c r="H147">
        <v>148056</v>
      </c>
      <c r="I147">
        <v>35917</v>
      </c>
    </row>
    <row r="148" spans="1:9">
      <c r="A148" s="2">
        <v>45047</v>
      </c>
      <c r="B148">
        <v>2023</v>
      </c>
      <c r="C148" t="s">
        <v>13</v>
      </c>
      <c r="D148" t="s">
        <v>26</v>
      </c>
      <c r="E148" t="s">
        <v>28</v>
      </c>
      <c r="F148">
        <v>228</v>
      </c>
      <c r="G148">
        <v>354</v>
      </c>
      <c r="H148">
        <v>80712</v>
      </c>
      <c r="I148">
        <v>11621</v>
      </c>
    </row>
    <row r="149" spans="1:9">
      <c r="A149" s="2">
        <v>45047</v>
      </c>
      <c r="B149">
        <v>2023</v>
      </c>
      <c r="C149" t="s">
        <v>13</v>
      </c>
      <c r="D149" t="s">
        <v>26</v>
      </c>
      <c r="E149" t="s">
        <v>29</v>
      </c>
      <c r="F149">
        <v>106</v>
      </c>
      <c r="G149">
        <v>363</v>
      </c>
      <c r="H149">
        <v>38478</v>
      </c>
      <c r="I149">
        <v>5075</v>
      </c>
    </row>
    <row r="150" spans="1:9">
      <c r="A150" s="2">
        <v>45047</v>
      </c>
      <c r="B150">
        <v>2023</v>
      </c>
      <c r="C150" t="s">
        <v>13</v>
      </c>
      <c r="D150" t="s">
        <v>26</v>
      </c>
      <c r="E150" t="s">
        <v>30</v>
      </c>
      <c r="F150">
        <v>135</v>
      </c>
      <c r="G150">
        <v>384</v>
      </c>
      <c r="H150">
        <v>51840</v>
      </c>
      <c r="I150">
        <v>11324</v>
      </c>
    </row>
    <row r="151" spans="1:9">
      <c r="A151" s="2">
        <v>45047</v>
      </c>
      <c r="B151">
        <v>2023</v>
      </c>
      <c r="C151" t="s">
        <v>13</v>
      </c>
      <c r="D151" t="s">
        <v>26</v>
      </c>
      <c r="E151" t="s">
        <v>31</v>
      </c>
      <c r="F151">
        <v>192</v>
      </c>
      <c r="G151">
        <v>396</v>
      </c>
      <c r="H151">
        <v>76032</v>
      </c>
      <c r="I151">
        <v>18714</v>
      </c>
    </row>
    <row r="152" spans="1:9">
      <c r="A152" s="2">
        <v>45078</v>
      </c>
      <c r="B152">
        <v>2023</v>
      </c>
      <c r="C152" t="s">
        <v>14</v>
      </c>
      <c r="D152" t="s">
        <v>21</v>
      </c>
      <c r="E152" t="s">
        <v>27</v>
      </c>
      <c r="F152">
        <v>302</v>
      </c>
      <c r="G152">
        <v>1096</v>
      </c>
      <c r="H152">
        <v>330992</v>
      </c>
      <c r="I152">
        <v>69692</v>
      </c>
    </row>
    <row r="153" spans="1:9">
      <c r="A153" s="2">
        <v>45078</v>
      </c>
      <c r="B153">
        <v>2023</v>
      </c>
      <c r="C153" t="s">
        <v>14</v>
      </c>
      <c r="D153" t="s">
        <v>21</v>
      </c>
      <c r="E153" t="s">
        <v>28</v>
      </c>
      <c r="F153">
        <v>300</v>
      </c>
      <c r="G153">
        <v>1185</v>
      </c>
      <c r="H153">
        <v>355500</v>
      </c>
      <c r="I153">
        <v>41792</v>
      </c>
    </row>
    <row r="154" spans="1:9">
      <c r="A154" s="2">
        <v>45078</v>
      </c>
      <c r="B154">
        <v>2023</v>
      </c>
      <c r="C154" t="s">
        <v>14</v>
      </c>
      <c r="D154" t="s">
        <v>21</v>
      </c>
      <c r="E154" t="s">
        <v>29</v>
      </c>
      <c r="F154">
        <v>155</v>
      </c>
      <c r="G154">
        <v>1286</v>
      </c>
      <c r="H154">
        <v>199330</v>
      </c>
      <c r="I154">
        <v>44957</v>
      </c>
    </row>
    <row r="155" spans="1:9">
      <c r="A155" s="2">
        <v>45078</v>
      </c>
      <c r="B155">
        <v>2023</v>
      </c>
      <c r="C155" t="s">
        <v>14</v>
      </c>
      <c r="D155" t="s">
        <v>21</v>
      </c>
      <c r="E155" t="s">
        <v>30</v>
      </c>
      <c r="F155">
        <v>332</v>
      </c>
      <c r="G155">
        <v>1331</v>
      </c>
      <c r="H155">
        <v>441892</v>
      </c>
      <c r="I155">
        <v>72432</v>
      </c>
    </row>
    <row r="156" spans="1:9">
      <c r="A156" s="2">
        <v>45078</v>
      </c>
      <c r="B156">
        <v>2023</v>
      </c>
      <c r="C156" t="s">
        <v>14</v>
      </c>
      <c r="D156" t="s">
        <v>21</v>
      </c>
      <c r="E156" t="s">
        <v>31</v>
      </c>
      <c r="F156">
        <v>247</v>
      </c>
      <c r="G156">
        <v>1101</v>
      </c>
      <c r="H156">
        <v>271947</v>
      </c>
      <c r="I156">
        <v>60720</v>
      </c>
    </row>
    <row r="157" spans="1:9">
      <c r="A157" s="2">
        <v>45078</v>
      </c>
      <c r="B157">
        <v>2023</v>
      </c>
      <c r="C157" t="s">
        <v>14</v>
      </c>
      <c r="D157" t="s">
        <v>22</v>
      </c>
      <c r="E157" t="s">
        <v>27</v>
      </c>
      <c r="F157">
        <v>201</v>
      </c>
      <c r="G157">
        <v>749</v>
      </c>
      <c r="H157">
        <v>150549</v>
      </c>
      <c r="I157">
        <v>26647</v>
      </c>
    </row>
    <row r="158" spans="1:9">
      <c r="A158" s="2">
        <v>45078</v>
      </c>
      <c r="B158">
        <v>2023</v>
      </c>
      <c r="C158" t="s">
        <v>14</v>
      </c>
      <c r="D158" t="s">
        <v>22</v>
      </c>
      <c r="E158" t="s">
        <v>28</v>
      </c>
      <c r="F158">
        <v>215</v>
      </c>
      <c r="G158">
        <v>794</v>
      </c>
      <c r="H158">
        <v>170710</v>
      </c>
      <c r="I158">
        <v>26561</v>
      </c>
    </row>
    <row r="159" spans="1:9">
      <c r="A159" s="2">
        <v>45078</v>
      </c>
      <c r="B159">
        <v>2023</v>
      </c>
      <c r="C159" t="s">
        <v>14</v>
      </c>
      <c r="D159" t="s">
        <v>22</v>
      </c>
      <c r="E159" t="s">
        <v>29</v>
      </c>
      <c r="F159">
        <v>224</v>
      </c>
      <c r="G159">
        <v>909</v>
      </c>
      <c r="H159">
        <v>203616</v>
      </c>
      <c r="I159">
        <v>50476</v>
      </c>
    </row>
    <row r="160" spans="1:9">
      <c r="A160" s="2">
        <v>45078</v>
      </c>
      <c r="B160">
        <v>2023</v>
      </c>
      <c r="C160" t="s">
        <v>14</v>
      </c>
      <c r="D160" t="s">
        <v>22</v>
      </c>
      <c r="E160" t="s">
        <v>30</v>
      </c>
      <c r="F160">
        <v>211</v>
      </c>
      <c r="G160">
        <v>790</v>
      </c>
      <c r="H160">
        <v>166690</v>
      </c>
      <c r="I160">
        <v>34376</v>
      </c>
    </row>
    <row r="161" spans="1:9">
      <c r="A161" s="2">
        <v>45078</v>
      </c>
      <c r="B161">
        <v>2023</v>
      </c>
      <c r="C161" t="s">
        <v>14</v>
      </c>
      <c r="D161" t="s">
        <v>22</v>
      </c>
      <c r="E161" t="s">
        <v>31</v>
      </c>
      <c r="F161">
        <v>354</v>
      </c>
      <c r="G161">
        <v>875</v>
      </c>
      <c r="H161">
        <v>309750</v>
      </c>
      <c r="I161">
        <v>56919</v>
      </c>
    </row>
    <row r="162" spans="1:9">
      <c r="A162" s="2">
        <v>45078</v>
      </c>
      <c r="B162">
        <v>2023</v>
      </c>
      <c r="C162" t="s">
        <v>14</v>
      </c>
      <c r="D162" t="s">
        <v>23</v>
      </c>
      <c r="E162" t="s">
        <v>27</v>
      </c>
      <c r="F162">
        <v>170</v>
      </c>
      <c r="G162">
        <v>115</v>
      </c>
      <c r="H162">
        <v>19550</v>
      </c>
      <c r="I162">
        <v>2923</v>
      </c>
    </row>
    <row r="163" spans="1:9">
      <c r="A163" s="2">
        <v>45078</v>
      </c>
      <c r="B163">
        <v>2023</v>
      </c>
      <c r="C163" t="s">
        <v>14</v>
      </c>
      <c r="D163" t="s">
        <v>23</v>
      </c>
      <c r="E163" t="s">
        <v>28</v>
      </c>
      <c r="F163">
        <v>205</v>
      </c>
      <c r="G163">
        <v>122</v>
      </c>
      <c r="H163">
        <v>25010</v>
      </c>
      <c r="I163">
        <v>2543</v>
      </c>
    </row>
    <row r="164" spans="1:9">
      <c r="A164" s="2">
        <v>45078</v>
      </c>
      <c r="B164">
        <v>2023</v>
      </c>
      <c r="C164" t="s">
        <v>14</v>
      </c>
      <c r="D164" t="s">
        <v>23</v>
      </c>
      <c r="E164" t="s">
        <v>29</v>
      </c>
      <c r="F164">
        <v>299</v>
      </c>
      <c r="G164">
        <v>125</v>
      </c>
      <c r="H164">
        <v>37375</v>
      </c>
      <c r="I164">
        <v>7891</v>
      </c>
    </row>
    <row r="165" spans="1:9">
      <c r="A165" s="2">
        <v>45078</v>
      </c>
      <c r="B165">
        <v>2023</v>
      </c>
      <c r="C165" t="s">
        <v>14</v>
      </c>
      <c r="D165" t="s">
        <v>23</v>
      </c>
      <c r="E165" t="s">
        <v>30</v>
      </c>
      <c r="F165">
        <v>396</v>
      </c>
      <c r="G165">
        <v>132</v>
      </c>
      <c r="H165">
        <v>52272</v>
      </c>
      <c r="I165">
        <v>11062</v>
      </c>
    </row>
    <row r="166" spans="1:9">
      <c r="A166" s="2">
        <v>45078</v>
      </c>
      <c r="B166">
        <v>2023</v>
      </c>
      <c r="C166" t="s">
        <v>14</v>
      </c>
      <c r="D166" t="s">
        <v>23</v>
      </c>
      <c r="E166" t="s">
        <v>31</v>
      </c>
      <c r="F166">
        <v>269</v>
      </c>
      <c r="G166">
        <v>120</v>
      </c>
      <c r="H166">
        <v>32280</v>
      </c>
      <c r="I166">
        <v>5541</v>
      </c>
    </row>
    <row r="167" spans="1:9">
      <c r="A167" s="2">
        <v>45078</v>
      </c>
      <c r="B167">
        <v>2023</v>
      </c>
      <c r="C167" t="s">
        <v>14</v>
      </c>
      <c r="D167" t="s">
        <v>24</v>
      </c>
      <c r="E167" t="s">
        <v>27</v>
      </c>
      <c r="F167">
        <v>391</v>
      </c>
      <c r="G167">
        <v>619</v>
      </c>
      <c r="H167">
        <v>242029</v>
      </c>
      <c r="I167">
        <v>40043</v>
      </c>
    </row>
    <row r="168" spans="1:9">
      <c r="A168" s="2">
        <v>45078</v>
      </c>
      <c r="B168">
        <v>2023</v>
      </c>
      <c r="C168" t="s">
        <v>14</v>
      </c>
      <c r="D168" t="s">
        <v>24</v>
      </c>
      <c r="E168" t="s">
        <v>28</v>
      </c>
      <c r="F168">
        <v>137</v>
      </c>
      <c r="G168">
        <v>541</v>
      </c>
      <c r="H168">
        <v>74117</v>
      </c>
      <c r="I168">
        <v>18194</v>
      </c>
    </row>
    <row r="169" spans="1:9">
      <c r="A169" s="2">
        <v>45078</v>
      </c>
      <c r="B169">
        <v>2023</v>
      </c>
      <c r="C169" t="s">
        <v>14</v>
      </c>
      <c r="D169" t="s">
        <v>24</v>
      </c>
      <c r="E169" t="s">
        <v>29</v>
      </c>
      <c r="F169">
        <v>396</v>
      </c>
      <c r="G169">
        <v>588</v>
      </c>
      <c r="H169">
        <v>232848</v>
      </c>
      <c r="I169">
        <v>24800</v>
      </c>
    </row>
    <row r="170" spans="1:9">
      <c r="A170" s="2">
        <v>45078</v>
      </c>
      <c r="B170">
        <v>2023</v>
      </c>
      <c r="C170" t="s">
        <v>14</v>
      </c>
      <c r="D170" t="s">
        <v>24</v>
      </c>
      <c r="E170" t="s">
        <v>30</v>
      </c>
      <c r="F170">
        <v>292</v>
      </c>
      <c r="G170">
        <v>688</v>
      </c>
      <c r="H170">
        <v>200896</v>
      </c>
      <c r="I170">
        <v>22313</v>
      </c>
    </row>
    <row r="171" spans="1:9">
      <c r="A171" s="2">
        <v>45078</v>
      </c>
      <c r="B171">
        <v>2023</v>
      </c>
      <c r="C171" t="s">
        <v>14</v>
      </c>
      <c r="D171" t="s">
        <v>24</v>
      </c>
      <c r="E171" t="s">
        <v>31</v>
      </c>
      <c r="F171">
        <v>306</v>
      </c>
      <c r="G171">
        <v>644</v>
      </c>
      <c r="H171">
        <v>197064</v>
      </c>
      <c r="I171">
        <v>21936</v>
      </c>
    </row>
    <row r="172" spans="1:9">
      <c r="A172" s="2">
        <v>45078</v>
      </c>
      <c r="B172">
        <v>2023</v>
      </c>
      <c r="C172" t="s">
        <v>14</v>
      </c>
      <c r="D172" t="s">
        <v>25</v>
      </c>
      <c r="E172" t="s">
        <v>27</v>
      </c>
      <c r="F172">
        <v>126</v>
      </c>
      <c r="G172">
        <v>264</v>
      </c>
      <c r="H172">
        <v>33264</v>
      </c>
      <c r="I172">
        <v>6797</v>
      </c>
    </row>
    <row r="173" spans="1:9">
      <c r="A173" s="2">
        <v>45078</v>
      </c>
      <c r="B173">
        <v>2023</v>
      </c>
      <c r="C173" t="s">
        <v>14</v>
      </c>
      <c r="D173" t="s">
        <v>25</v>
      </c>
      <c r="E173" t="s">
        <v>28</v>
      </c>
      <c r="F173">
        <v>80</v>
      </c>
      <c r="G173">
        <v>264</v>
      </c>
      <c r="H173">
        <v>21120</v>
      </c>
      <c r="I173">
        <v>3963</v>
      </c>
    </row>
    <row r="174" spans="1:9">
      <c r="A174" s="2">
        <v>45078</v>
      </c>
      <c r="B174">
        <v>2023</v>
      </c>
      <c r="C174" t="s">
        <v>14</v>
      </c>
      <c r="D174" t="s">
        <v>25</v>
      </c>
      <c r="E174" t="s">
        <v>29</v>
      </c>
      <c r="F174">
        <v>223</v>
      </c>
      <c r="G174">
        <v>271</v>
      </c>
      <c r="H174">
        <v>60433</v>
      </c>
      <c r="I174">
        <v>14340</v>
      </c>
    </row>
    <row r="175" spans="1:9">
      <c r="A175" s="2">
        <v>45078</v>
      </c>
      <c r="B175">
        <v>2023</v>
      </c>
      <c r="C175" t="s">
        <v>14</v>
      </c>
      <c r="D175" t="s">
        <v>25</v>
      </c>
      <c r="E175" t="s">
        <v>30</v>
      </c>
      <c r="F175">
        <v>303</v>
      </c>
      <c r="G175">
        <v>228</v>
      </c>
      <c r="H175">
        <v>69084</v>
      </c>
      <c r="I175">
        <v>10996</v>
      </c>
    </row>
    <row r="176" spans="1:9">
      <c r="A176" s="2">
        <v>45078</v>
      </c>
      <c r="B176">
        <v>2023</v>
      </c>
      <c r="C176" t="s">
        <v>14</v>
      </c>
      <c r="D176" t="s">
        <v>25</v>
      </c>
      <c r="E176" t="s">
        <v>31</v>
      </c>
      <c r="F176">
        <v>235</v>
      </c>
      <c r="G176">
        <v>245</v>
      </c>
      <c r="H176">
        <v>57575</v>
      </c>
      <c r="I176">
        <v>7222</v>
      </c>
    </row>
    <row r="177" spans="1:9">
      <c r="A177" s="2">
        <v>45078</v>
      </c>
      <c r="B177">
        <v>2023</v>
      </c>
      <c r="C177" t="s">
        <v>14</v>
      </c>
      <c r="D177" t="s">
        <v>26</v>
      </c>
      <c r="E177" t="s">
        <v>27</v>
      </c>
      <c r="F177">
        <v>243</v>
      </c>
      <c r="G177">
        <v>355</v>
      </c>
      <c r="H177">
        <v>86265</v>
      </c>
      <c r="I177">
        <v>13198</v>
      </c>
    </row>
    <row r="178" spans="1:9">
      <c r="A178" s="2">
        <v>45078</v>
      </c>
      <c r="B178">
        <v>2023</v>
      </c>
      <c r="C178" t="s">
        <v>14</v>
      </c>
      <c r="D178" t="s">
        <v>26</v>
      </c>
      <c r="E178" t="s">
        <v>28</v>
      </c>
      <c r="F178">
        <v>257</v>
      </c>
      <c r="G178">
        <v>338</v>
      </c>
      <c r="H178">
        <v>86866</v>
      </c>
      <c r="I178">
        <v>13381</v>
      </c>
    </row>
    <row r="179" spans="1:9">
      <c r="A179" s="2">
        <v>45078</v>
      </c>
      <c r="B179">
        <v>2023</v>
      </c>
      <c r="C179" t="s">
        <v>14</v>
      </c>
      <c r="D179" t="s">
        <v>26</v>
      </c>
      <c r="E179" t="s">
        <v>29</v>
      </c>
      <c r="F179">
        <v>307</v>
      </c>
      <c r="G179">
        <v>401</v>
      </c>
      <c r="H179">
        <v>123107</v>
      </c>
      <c r="I179">
        <v>25202</v>
      </c>
    </row>
    <row r="180" spans="1:9">
      <c r="A180" s="2">
        <v>45078</v>
      </c>
      <c r="B180">
        <v>2023</v>
      </c>
      <c r="C180" t="s">
        <v>14</v>
      </c>
      <c r="D180" t="s">
        <v>26</v>
      </c>
      <c r="E180" t="s">
        <v>30</v>
      </c>
      <c r="F180">
        <v>224</v>
      </c>
      <c r="G180">
        <v>339</v>
      </c>
      <c r="H180">
        <v>75936</v>
      </c>
      <c r="I180">
        <v>12277</v>
      </c>
    </row>
    <row r="181" spans="1:9">
      <c r="A181" s="2">
        <v>45078</v>
      </c>
      <c r="B181">
        <v>2023</v>
      </c>
      <c r="C181" t="s">
        <v>14</v>
      </c>
      <c r="D181" t="s">
        <v>26</v>
      </c>
      <c r="E181" t="s">
        <v>31</v>
      </c>
      <c r="F181">
        <v>299</v>
      </c>
      <c r="G181">
        <v>338</v>
      </c>
      <c r="H181">
        <v>101062</v>
      </c>
      <c r="I181">
        <v>12125</v>
      </c>
    </row>
    <row r="182" spans="1:9">
      <c r="A182" s="2">
        <v>45108</v>
      </c>
      <c r="B182">
        <v>2023</v>
      </c>
      <c r="C182" t="s">
        <v>15</v>
      </c>
      <c r="D182" t="s">
        <v>21</v>
      </c>
      <c r="E182" t="s">
        <v>27</v>
      </c>
      <c r="F182">
        <v>111</v>
      </c>
      <c r="G182">
        <v>1326</v>
      </c>
      <c r="H182">
        <v>147186</v>
      </c>
      <c r="I182">
        <v>35688</v>
      </c>
    </row>
    <row r="183" spans="1:9">
      <c r="A183" s="2">
        <v>45108</v>
      </c>
      <c r="B183">
        <v>2023</v>
      </c>
      <c r="C183" t="s">
        <v>15</v>
      </c>
      <c r="D183" t="s">
        <v>21</v>
      </c>
      <c r="E183" t="s">
        <v>28</v>
      </c>
      <c r="F183">
        <v>326</v>
      </c>
      <c r="G183">
        <v>1254</v>
      </c>
      <c r="H183">
        <v>408804</v>
      </c>
      <c r="I183">
        <v>97244</v>
      </c>
    </row>
    <row r="184" spans="1:9">
      <c r="A184" s="2">
        <v>45108</v>
      </c>
      <c r="B184">
        <v>2023</v>
      </c>
      <c r="C184" t="s">
        <v>15</v>
      </c>
      <c r="D184" t="s">
        <v>21</v>
      </c>
      <c r="E184" t="s">
        <v>29</v>
      </c>
      <c r="F184">
        <v>86</v>
      </c>
      <c r="G184">
        <v>1359</v>
      </c>
      <c r="H184">
        <v>116874</v>
      </c>
      <c r="I184">
        <v>26870</v>
      </c>
    </row>
    <row r="185" spans="1:9">
      <c r="A185" s="2">
        <v>45108</v>
      </c>
      <c r="B185">
        <v>2023</v>
      </c>
      <c r="C185" t="s">
        <v>15</v>
      </c>
      <c r="D185" t="s">
        <v>21</v>
      </c>
      <c r="E185" t="s">
        <v>30</v>
      </c>
      <c r="F185">
        <v>81</v>
      </c>
      <c r="G185">
        <v>1087</v>
      </c>
      <c r="H185">
        <v>88047</v>
      </c>
      <c r="I185">
        <v>13776</v>
      </c>
    </row>
    <row r="186" spans="1:9">
      <c r="A186" s="2">
        <v>45108</v>
      </c>
      <c r="B186">
        <v>2023</v>
      </c>
      <c r="C186" t="s">
        <v>15</v>
      </c>
      <c r="D186" t="s">
        <v>21</v>
      </c>
      <c r="E186" t="s">
        <v>31</v>
      </c>
      <c r="F186">
        <v>140</v>
      </c>
      <c r="G186">
        <v>1224</v>
      </c>
      <c r="H186">
        <v>171360</v>
      </c>
      <c r="I186">
        <v>42461</v>
      </c>
    </row>
    <row r="187" spans="1:9">
      <c r="A187" s="2">
        <v>45108</v>
      </c>
      <c r="B187">
        <v>2023</v>
      </c>
      <c r="C187" t="s">
        <v>15</v>
      </c>
      <c r="D187" t="s">
        <v>22</v>
      </c>
      <c r="E187" t="s">
        <v>27</v>
      </c>
      <c r="F187">
        <v>337</v>
      </c>
      <c r="G187">
        <v>838</v>
      </c>
      <c r="H187">
        <v>282406</v>
      </c>
      <c r="I187">
        <v>44375</v>
      </c>
    </row>
    <row r="188" spans="1:9">
      <c r="A188" s="2">
        <v>45108</v>
      </c>
      <c r="B188">
        <v>2023</v>
      </c>
      <c r="C188" t="s">
        <v>15</v>
      </c>
      <c r="D188" t="s">
        <v>22</v>
      </c>
      <c r="E188" t="s">
        <v>28</v>
      </c>
      <c r="F188">
        <v>384</v>
      </c>
      <c r="G188">
        <v>888</v>
      </c>
      <c r="H188">
        <v>340992</v>
      </c>
      <c r="I188">
        <v>76978</v>
      </c>
    </row>
    <row r="189" spans="1:9">
      <c r="A189" s="2">
        <v>45108</v>
      </c>
      <c r="B189">
        <v>2023</v>
      </c>
      <c r="C189" t="s">
        <v>15</v>
      </c>
      <c r="D189" t="s">
        <v>22</v>
      </c>
      <c r="E189" t="s">
        <v>29</v>
      </c>
      <c r="F189">
        <v>172</v>
      </c>
      <c r="G189">
        <v>727</v>
      </c>
      <c r="H189">
        <v>125044</v>
      </c>
      <c r="I189">
        <v>15015</v>
      </c>
    </row>
    <row r="190" spans="1:9">
      <c r="A190" s="2">
        <v>45108</v>
      </c>
      <c r="B190">
        <v>2023</v>
      </c>
      <c r="C190" t="s">
        <v>15</v>
      </c>
      <c r="D190" t="s">
        <v>22</v>
      </c>
      <c r="E190" t="s">
        <v>30</v>
      </c>
      <c r="F190">
        <v>380</v>
      </c>
      <c r="G190">
        <v>892</v>
      </c>
      <c r="H190">
        <v>338960</v>
      </c>
      <c r="I190">
        <v>75227</v>
      </c>
    </row>
    <row r="191" spans="1:9">
      <c r="A191" s="2">
        <v>45108</v>
      </c>
      <c r="B191">
        <v>2023</v>
      </c>
      <c r="C191" t="s">
        <v>15</v>
      </c>
      <c r="D191" t="s">
        <v>22</v>
      </c>
      <c r="E191" t="s">
        <v>31</v>
      </c>
      <c r="F191">
        <v>206</v>
      </c>
      <c r="G191">
        <v>919</v>
      </c>
      <c r="H191">
        <v>189314</v>
      </c>
      <c r="I191">
        <v>34704</v>
      </c>
    </row>
    <row r="192" spans="1:9">
      <c r="A192" s="2">
        <v>45108</v>
      </c>
      <c r="B192">
        <v>2023</v>
      </c>
      <c r="C192" t="s">
        <v>15</v>
      </c>
      <c r="D192" t="s">
        <v>23</v>
      </c>
      <c r="E192" t="s">
        <v>27</v>
      </c>
      <c r="F192">
        <v>128</v>
      </c>
      <c r="G192">
        <v>136</v>
      </c>
      <c r="H192">
        <v>17408</v>
      </c>
      <c r="I192">
        <v>3959</v>
      </c>
    </row>
    <row r="193" spans="1:9">
      <c r="A193" s="2">
        <v>45108</v>
      </c>
      <c r="B193">
        <v>2023</v>
      </c>
      <c r="C193" t="s">
        <v>15</v>
      </c>
      <c r="D193" t="s">
        <v>23</v>
      </c>
      <c r="E193" t="s">
        <v>28</v>
      </c>
      <c r="F193">
        <v>218</v>
      </c>
      <c r="G193">
        <v>115</v>
      </c>
      <c r="H193">
        <v>25070</v>
      </c>
      <c r="I193">
        <v>3278</v>
      </c>
    </row>
    <row r="194" spans="1:9">
      <c r="A194" s="2">
        <v>45108</v>
      </c>
      <c r="B194">
        <v>2023</v>
      </c>
      <c r="C194" t="s">
        <v>15</v>
      </c>
      <c r="D194" t="s">
        <v>23</v>
      </c>
      <c r="E194" t="s">
        <v>29</v>
      </c>
      <c r="F194">
        <v>78</v>
      </c>
      <c r="G194">
        <v>136</v>
      </c>
      <c r="H194">
        <v>10608</v>
      </c>
      <c r="I194">
        <v>2025</v>
      </c>
    </row>
    <row r="195" spans="1:9">
      <c r="A195" s="2">
        <v>45108</v>
      </c>
      <c r="B195">
        <v>2023</v>
      </c>
      <c r="C195" t="s">
        <v>15</v>
      </c>
      <c r="D195" t="s">
        <v>23</v>
      </c>
      <c r="E195" t="s">
        <v>30</v>
      </c>
      <c r="F195">
        <v>357</v>
      </c>
      <c r="G195">
        <v>109</v>
      </c>
      <c r="H195">
        <v>38913</v>
      </c>
      <c r="I195">
        <v>5459</v>
      </c>
    </row>
    <row r="196" spans="1:9">
      <c r="A196" s="2">
        <v>45108</v>
      </c>
      <c r="B196">
        <v>2023</v>
      </c>
      <c r="C196" t="s">
        <v>15</v>
      </c>
      <c r="D196" t="s">
        <v>23</v>
      </c>
      <c r="E196" t="s">
        <v>31</v>
      </c>
      <c r="F196">
        <v>115</v>
      </c>
      <c r="G196">
        <v>128</v>
      </c>
      <c r="H196">
        <v>14720</v>
      </c>
      <c r="I196">
        <v>2620</v>
      </c>
    </row>
    <row r="197" spans="1:9">
      <c r="A197" s="2">
        <v>45108</v>
      </c>
      <c r="B197">
        <v>2023</v>
      </c>
      <c r="C197" t="s">
        <v>15</v>
      </c>
      <c r="D197" t="s">
        <v>24</v>
      </c>
      <c r="E197" t="s">
        <v>27</v>
      </c>
      <c r="F197">
        <v>192</v>
      </c>
      <c r="G197">
        <v>664</v>
      </c>
      <c r="H197">
        <v>127488</v>
      </c>
      <c r="I197">
        <v>18634</v>
      </c>
    </row>
    <row r="198" spans="1:9">
      <c r="A198" s="2">
        <v>45108</v>
      </c>
      <c r="B198">
        <v>2023</v>
      </c>
      <c r="C198" t="s">
        <v>15</v>
      </c>
      <c r="D198" t="s">
        <v>24</v>
      </c>
      <c r="E198" t="s">
        <v>28</v>
      </c>
      <c r="F198">
        <v>129</v>
      </c>
      <c r="G198">
        <v>685</v>
      </c>
      <c r="H198">
        <v>88365</v>
      </c>
      <c r="I198">
        <v>10008</v>
      </c>
    </row>
    <row r="199" spans="1:9">
      <c r="A199" s="2">
        <v>45108</v>
      </c>
      <c r="B199">
        <v>2023</v>
      </c>
      <c r="C199" t="s">
        <v>15</v>
      </c>
      <c r="D199" t="s">
        <v>24</v>
      </c>
      <c r="E199" t="s">
        <v>29</v>
      </c>
      <c r="F199">
        <v>321</v>
      </c>
      <c r="G199">
        <v>600</v>
      </c>
      <c r="H199">
        <v>192600</v>
      </c>
      <c r="I199">
        <v>23131</v>
      </c>
    </row>
    <row r="200" spans="1:9">
      <c r="A200" s="2">
        <v>45108</v>
      </c>
      <c r="B200">
        <v>2023</v>
      </c>
      <c r="C200" t="s">
        <v>15</v>
      </c>
      <c r="D200" t="s">
        <v>24</v>
      </c>
      <c r="E200" t="s">
        <v>30</v>
      </c>
      <c r="F200">
        <v>372</v>
      </c>
      <c r="G200">
        <v>603</v>
      </c>
      <c r="H200">
        <v>224316</v>
      </c>
      <c r="I200">
        <v>48833</v>
      </c>
    </row>
    <row r="201" spans="1:9">
      <c r="A201" s="2">
        <v>45108</v>
      </c>
      <c r="B201">
        <v>2023</v>
      </c>
      <c r="C201" t="s">
        <v>15</v>
      </c>
      <c r="D201" t="s">
        <v>24</v>
      </c>
      <c r="E201" t="s">
        <v>31</v>
      </c>
      <c r="F201">
        <v>141</v>
      </c>
      <c r="G201">
        <v>660</v>
      </c>
      <c r="H201">
        <v>93060</v>
      </c>
      <c r="I201">
        <v>21913</v>
      </c>
    </row>
    <row r="202" spans="1:9">
      <c r="A202" s="2">
        <v>45108</v>
      </c>
      <c r="B202">
        <v>2023</v>
      </c>
      <c r="C202" t="s">
        <v>15</v>
      </c>
      <c r="D202" t="s">
        <v>25</v>
      </c>
      <c r="E202" t="s">
        <v>27</v>
      </c>
      <c r="F202">
        <v>264</v>
      </c>
      <c r="G202">
        <v>225</v>
      </c>
      <c r="H202">
        <v>59400</v>
      </c>
      <c r="I202">
        <v>9063</v>
      </c>
    </row>
    <row r="203" spans="1:9">
      <c r="A203" s="2">
        <v>45108</v>
      </c>
      <c r="B203">
        <v>2023</v>
      </c>
      <c r="C203" t="s">
        <v>15</v>
      </c>
      <c r="D203" t="s">
        <v>25</v>
      </c>
      <c r="E203" t="s">
        <v>28</v>
      </c>
      <c r="F203">
        <v>172</v>
      </c>
      <c r="G203">
        <v>264</v>
      </c>
      <c r="H203">
        <v>45408</v>
      </c>
      <c r="I203">
        <v>8319</v>
      </c>
    </row>
    <row r="204" spans="1:9">
      <c r="A204" s="2">
        <v>45108</v>
      </c>
      <c r="B204">
        <v>2023</v>
      </c>
      <c r="C204" t="s">
        <v>15</v>
      </c>
      <c r="D204" t="s">
        <v>25</v>
      </c>
      <c r="E204" t="s">
        <v>29</v>
      </c>
      <c r="F204">
        <v>377</v>
      </c>
      <c r="G204">
        <v>259</v>
      </c>
      <c r="H204">
        <v>97643</v>
      </c>
      <c r="I204">
        <v>16368</v>
      </c>
    </row>
    <row r="205" spans="1:9">
      <c r="A205" s="2">
        <v>45108</v>
      </c>
      <c r="B205">
        <v>2023</v>
      </c>
      <c r="C205" t="s">
        <v>15</v>
      </c>
      <c r="D205" t="s">
        <v>25</v>
      </c>
      <c r="E205" t="s">
        <v>30</v>
      </c>
      <c r="F205">
        <v>106</v>
      </c>
      <c r="G205">
        <v>263</v>
      </c>
      <c r="H205">
        <v>27878</v>
      </c>
      <c r="I205">
        <v>6393</v>
      </c>
    </row>
    <row r="206" spans="1:9">
      <c r="A206" s="2">
        <v>45108</v>
      </c>
      <c r="B206">
        <v>2023</v>
      </c>
      <c r="C206" t="s">
        <v>15</v>
      </c>
      <c r="D206" t="s">
        <v>25</v>
      </c>
      <c r="E206" t="s">
        <v>31</v>
      </c>
      <c r="F206">
        <v>206</v>
      </c>
      <c r="G206">
        <v>274</v>
      </c>
      <c r="H206">
        <v>56444</v>
      </c>
      <c r="I206">
        <v>9533</v>
      </c>
    </row>
    <row r="207" spans="1:9">
      <c r="A207" s="2">
        <v>45108</v>
      </c>
      <c r="B207">
        <v>2023</v>
      </c>
      <c r="C207" t="s">
        <v>15</v>
      </c>
      <c r="D207" t="s">
        <v>26</v>
      </c>
      <c r="E207" t="s">
        <v>27</v>
      </c>
      <c r="F207">
        <v>343</v>
      </c>
      <c r="G207">
        <v>337</v>
      </c>
      <c r="H207">
        <v>115591</v>
      </c>
      <c r="I207">
        <v>19519</v>
      </c>
    </row>
    <row r="208" spans="1:9">
      <c r="A208" s="2">
        <v>45108</v>
      </c>
      <c r="B208">
        <v>2023</v>
      </c>
      <c r="C208" t="s">
        <v>15</v>
      </c>
      <c r="D208" t="s">
        <v>26</v>
      </c>
      <c r="E208" t="s">
        <v>28</v>
      </c>
      <c r="F208">
        <v>110</v>
      </c>
      <c r="G208">
        <v>369</v>
      </c>
      <c r="H208">
        <v>40590</v>
      </c>
      <c r="I208">
        <v>6174</v>
      </c>
    </row>
    <row r="209" spans="1:9">
      <c r="A209" s="2">
        <v>45108</v>
      </c>
      <c r="B209">
        <v>2023</v>
      </c>
      <c r="C209" t="s">
        <v>15</v>
      </c>
      <c r="D209" t="s">
        <v>26</v>
      </c>
      <c r="E209" t="s">
        <v>29</v>
      </c>
      <c r="F209">
        <v>199</v>
      </c>
      <c r="G209">
        <v>370</v>
      </c>
      <c r="H209">
        <v>73630</v>
      </c>
      <c r="I209">
        <v>10015</v>
      </c>
    </row>
    <row r="210" spans="1:9">
      <c r="A210" s="2">
        <v>45108</v>
      </c>
      <c r="B210">
        <v>2023</v>
      </c>
      <c r="C210" t="s">
        <v>15</v>
      </c>
      <c r="D210" t="s">
        <v>26</v>
      </c>
      <c r="E210" t="s">
        <v>30</v>
      </c>
      <c r="F210">
        <v>185</v>
      </c>
      <c r="G210">
        <v>326</v>
      </c>
      <c r="H210">
        <v>60310</v>
      </c>
      <c r="I210">
        <v>7189</v>
      </c>
    </row>
    <row r="211" spans="1:9">
      <c r="A211" s="2">
        <v>45108</v>
      </c>
      <c r="B211">
        <v>2023</v>
      </c>
      <c r="C211" t="s">
        <v>15</v>
      </c>
      <c r="D211" t="s">
        <v>26</v>
      </c>
      <c r="E211" t="s">
        <v>31</v>
      </c>
      <c r="F211">
        <v>169</v>
      </c>
      <c r="G211">
        <v>350</v>
      </c>
      <c r="H211">
        <v>59150</v>
      </c>
      <c r="I211">
        <v>12105</v>
      </c>
    </row>
    <row r="212" spans="1:9">
      <c r="A212" s="2">
        <v>45139</v>
      </c>
      <c r="B212">
        <v>2023</v>
      </c>
      <c r="C212" t="s">
        <v>16</v>
      </c>
      <c r="D212" t="s">
        <v>21</v>
      </c>
      <c r="E212" t="s">
        <v>27</v>
      </c>
      <c r="F212">
        <v>251</v>
      </c>
      <c r="G212">
        <v>1203</v>
      </c>
      <c r="H212">
        <v>301953</v>
      </c>
      <c r="I212">
        <v>69795</v>
      </c>
    </row>
    <row r="213" spans="1:9">
      <c r="A213" s="2">
        <v>45139</v>
      </c>
      <c r="B213">
        <v>2023</v>
      </c>
      <c r="C213" t="s">
        <v>16</v>
      </c>
      <c r="D213" t="s">
        <v>21</v>
      </c>
      <c r="E213" t="s">
        <v>28</v>
      </c>
      <c r="F213">
        <v>223</v>
      </c>
      <c r="G213">
        <v>1280</v>
      </c>
      <c r="H213">
        <v>285440</v>
      </c>
      <c r="I213">
        <v>35922</v>
      </c>
    </row>
    <row r="214" spans="1:9">
      <c r="A214" s="2">
        <v>45139</v>
      </c>
      <c r="B214">
        <v>2023</v>
      </c>
      <c r="C214" t="s">
        <v>16</v>
      </c>
      <c r="D214" t="s">
        <v>21</v>
      </c>
      <c r="E214" t="s">
        <v>29</v>
      </c>
      <c r="F214">
        <v>192</v>
      </c>
      <c r="G214">
        <v>1147</v>
      </c>
      <c r="H214">
        <v>220224</v>
      </c>
      <c r="I214">
        <v>49169</v>
      </c>
    </row>
    <row r="215" spans="1:9">
      <c r="A215" s="2">
        <v>45139</v>
      </c>
      <c r="B215">
        <v>2023</v>
      </c>
      <c r="C215" t="s">
        <v>16</v>
      </c>
      <c r="D215" t="s">
        <v>21</v>
      </c>
      <c r="E215" t="s">
        <v>30</v>
      </c>
      <c r="F215">
        <v>163</v>
      </c>
      <c r="G215">
        <v>1184</v>
      </c>
      <c r="H215">
        <v>192992</v>
      </c>
      <c r="I215">
        <v>20219</v>
      </c>
    </row>
    <row r="216" spans="1:9">
      <c r="A216" s="2">
        <v>45139</v>
      </c>
      <c r="B216">
        <v>2023</v>
      </c>
      <c r="C216" t="s">
        <v>16</v>
      </c>
      <c r="D216" t="s">
        <v>21</v>
      </c>
      <c r="E216" t="s">
        <v>31</v>
      </c>
      <c r="F216">
        <v>76</v>
      </c>
      <c r="G216">
        <v>1240</v>
      </c>
      <c r="H216">
        <v>94240</v>
      </c>
      <c r="I216">
        <v>14456</v>
      </c>
    </row>
    <row r="217" spans="1:9">
      <c r="A217" s="2">
        <v>45139</v>
      </c>
      <c r="B217">
        <v>2023</v>
      </c>
      <c r="C217" t="s">
        <v>16</v>
      </c>
      <c r="D217" t="s">
        <v>22</v>
      </c>
      <c r="E217" t="s">
        <v>27</v>
      </c>
      <c r="F217">
        <v>119</v>
      </c>
      <c r="G217">
        <v>792</v>
      </c>
      <c r="H217">
        <v>94248</v>
      </c>
      <c r="I217">
        <v>16541</v>
      </c>
    </row>
    <row r="218" spans="1:9">
      <c r="A218" s="2">
        <v>45139</v>
      </c>
      <c r="B218">
        <v>2023</v>
      </c>
      <c r="C218" t="s">
        <v>16</v>
      </c>
      <c r="D218" t="s">
        <v>22</v>
      </c>
      <c r="E218" t="s">
        <v>28</v>
      </c>
      <c r="F218">
        <v>363</v>
      </c>
      <c r="G218">
        <v>784</v>
      </c>
      <c r="H218">
        <v>284592</v>
      </c>
      <c r="I218">
        <v>32398</v>
      </c>
    </row>
    <row r="219" spans="1:9">
      <c r="A219" s="2">
        <v>45139</v>
      </c>
      <c r="B219">
        <v>2023</v>
      </c>
      <c r="C219" t="s">
        <v>16</v>
      </c>
      <c r="D219" t="s">
        <v>22</v>
      </c>
      <c r="E219" t="s">
        <v>29</v>
      </c>
      <c r="F219">
        <v>120</v>
      </c>
      <c r="G219">
        <v>845</v>
      </c>
      <c r="H219">
        <v>101400</v>
      </c>
      <c r="I219">
        <v>11383</v>
      </c>
    </row>
    <row r="220" spans="1:9">
      <c r="A220" s="2">
        <v>45139</v>
      </c>
      <c r="B220">
        <v>2023</v>
      </c>
      <c r="C220" t="s">
        <v>16</v>
      </c>
      <c r="D220" t="s">
        <v>22</v>
      </c>
      <c r="E220" t="s">
        <v>30</v>
      </c>
      <c r="F220">
        <v>177</v>
      </c>
      <c r="G220">
        <v>904</v>
      </c>
      <c r="H220">
        <v>160008</v>
      </c>
      <c r="I220">
        <v>17466</v>
      </c>
    </row>
    <row r="221" spans="1:9">
      <c r="A221" s="2">
        <v>45139</v>
      </c>
      <c r="B221">
        <v>2023</v>
      </c>
      <c r="C221" t="s">
        <v>16</v>
      </c>
      <c r="D221" t="s">
        <v>22</v>
      </c>
      <c r="E221" t="s">
        <v>31</v>
      </c>
      <c r="F221">
        <v>100</v>
      </c>
      <c r="G221">
        <v>893</v>
      </c>
      <c r="H221">
        <v>89300</v>
      </c>
      <c r="I221">
        <v>10062</v>
      </c>
    </row>
    <row r="222" spans="1:9">
      <c r="A222" s="2">
        <v>45139</v>
      </c>
      <c r="B222">
        <v>2023</v>
      </c>
      <c r="C222" t="s">
        <v>16</v>
      </c>
      <c r="D222" t="s">
        <v>23</v>
      </c>
      <c r="E222" t="s">
        <v>27</v>
      </c>
      <c r="F222">
        <v>317</v>
      </c>
      <c r="G222">
        <v>137</v>
      </c>
      <c r="H222">
        <v>43429</v>
      </c>
      <c r="I222">
        <v>7838</v>
      </c>
    </row>
    <row r="223" spans="1:9">
      <c r="A223" s="2">
        <v>45139</v>
      </c>
      <c r="B223">
        <v>2023</v>
      </c>
      <c r="C223" t="s">
        <v>16</v>
      </c>
      <c r="D223" t="s">
        <v>23</v>
      </c>
      <c r="E223" t="s">
        <v>28</v>
      </c>
      <c r="F223">
        <v>129</v>
      </c>
      <c r="G223">
        <v>122</v>
      </c>
      <c r="H223">
        <v>15738</v>
      </c>
      <c r="I223">
        <v>3033</v>
      </c>
    </row>
    <row r="224" spans="1:9">
      <c r="A224" s="2">
        <v>45139</v>
      </c>
      <c r="B224">
        <v>2023</v>
      </c>
      <c r="C224" t="s">
        <v>16</v>
      </c>
      <c r="D224" t="s">
        <v>23</v>
      </c>
      <c r="E224" t="s">
        <v>29</v>
      </c>
      <c r="F224">
        <v>150</v>
      </c>
      <c r="G224">
        <v>121</v>
      </c>
      <c r="H224">
        <v>18150</v>
      </c>
      <c r="I224">
        <v>3849</v>
      </c>
    </row>
    <row r="225" spans="1:9">
      <c r="A225" s="2">
        <v>45139</v>
      </c>
      <c r="B225">
        <v>2023</v>
      </c>
      <c r="C225" t="s">
        <v>16</v>
      </c>
      <c r="D225" t="s">
        <v>23</v>
      </c>
      <c r="E225" t="s">
        <v>30</v>
      </c>
      <c r="F225">
        <v>88</v>
      </c>
      <c r="G225">
        <v>112</v>
      </c>
      <c r="H225">
        <v>9856</v>
      </c>
      <c r="I225">
        <v>1182</v>
      </c>
    </row>
    <row r="226" spans="1:9">
      <c r="A226" s="2">
        <v>45139</v>
      </c>
      <c r="B226">
        <v>2023</v>
      </c>
      <c r="C226" t="s">
        <v>16</v>
      </c>
      <c r="D226" t="s">
        <v>23</v>
      </c>
      <c r="E226" t="s">
        <v>31</v>
      </c>
      <c r="F226">
        <v>78</v>
      </c>
      <c r="G226">
        <v>134</v>
      </c>
      <c r="H226">
        <v>10452</v>
      </c>
      <c r="I226">
        <v>1847</v>
      </c>
    </row>
    <row r="227" spans="1:9">
      <c r="A227" s="2">
        <v>45139</v>
      </c>
      <c r="B227">
        <v>2023</v>
      </c>
      <c r="C227" t="s">
        <v>16</v>
      </c>
      <c r="D227" t="s">
        <v>24</v>
      </c>
      <c r="E227" t="s">
        <v>27</v>
      </c>
      <c r="F227">
        <v>304</v>
      </c>
      <c r="G227">
        <v>544</v>
      </c>
      <c r="H227">
        <v>165376</v>
      </c>
      <c r="I227">
        <v>38050</v>
      </c>
    </row>
    <row r="228" spans="1:9">
      <c r="A228" s="2">
        <v>45139</v>
      </c>
      <c r="B228">
        <v>2023</v>
      </c>
      <c r="C228" t="s">
        <v>16</v>
      </c>
      <c r="D228" t="s">
        <v>24</v>
      </c>
      <c r="E228" t="s">
        <v>28</v>
      </c>
      <c r="F228">
        <v>356</v>
      </c>
      <c r="G228">
        <v>619</v>
      </c>
      <c r="H228">
        <v>220364</v>
      </c>
      <c r="I228">
        <v>30051</v>
      </c>
    </row>
    <row r="229" spans="1:9">
      <c r="A229" s="2">
        <v>45139</v>
      </c>
      <c r="B229">
        <v>2023</v>
      </c>
      <c r="C229" t="s">
        <v>16</v>
      </c>
      <c r="D229" t="s">
        <v>24</v>
      </c>
      <c r="E229" t="s">
        <v>29</v>
      </c>
      <c r="F229">
        <v>189</v>
      </c>
      <c r="G229">
        <v>596</v>
      </c>
      <c r="H229">
        <v>112644</v>
      </c>
      <c r="I229">
        <v>11603</v>
      </c>
    </row>
    <row r="230" spans="1:9">
      <c r="A230" s="2">
        <v>45139</v>
      </c>
      <c r="B230">
        <v>2023</v>
      </c>
      <c r="C230" t="s">
        <v>16</v>
      </c>
      <c r="D230" t="s">
        <v>24</v>
      </c>
      <c r="E230" t="s">
        <v>30</v>
      </c>
      <c r="F230">
        <v>336</v>
      </c>
      <c r="G230">
        <v>571</v>
      </c>
      <c r="H230">
        <v>191856</v>
      </c>
      <c r="I230">
        <v>28610</v>
      </c>
    </row>
    <row r="231" spans="1:9">
      <c r="A231" s="2">
        <v>45139</v>
      </c>
      <c r="B231">
        <v>2023</v>
      </c>
      <c r="C231" t="s">
        <v>16</v>
      </c>
      <c r="D231" t="s">
        <v>24</v>
      </c>
      <c r="E231" t="s">
        <v>31</v>
      </c>
      <c r="F231">
        <v>362</v>
      </c>
      <c r="G231">
        <v>574</v>
      </c>
      <c r="H231">
        <v>207788</v>
      </c>
      <c r="I231">
        <v>31467</v>
      </c>
    </row>
    <row r="232" spans="1:9">
      <c r="A232" s="2">
        <v>45139</v>
      </c>
      <c r="B232">
        <v>2023</v>
      </c>
      <c r="C232" t="s">
        <v>16</v>
      </c>
      <c r="D232" t="s">
        <v>25</v>
      </c>
      <c r="E232" t="s">
        <v>27</v>
      </c>
      <c r="F232">
        <v>99</v>
      </c>
      <c r="G232">
        <v>267</v>
      </c>
      <c r="H232">
        <v>26433</v>
      </c>
      <c r="I232">
        <v>5772</v>
      </c>
    </row>
    <row r="233" spans="1:9">
      <c r="A233" s="2">
        <v>45139</v>
      </c>
      <c r="B233">
        <v>2023</v>
      </c>
      <c r="C233" t="s">
        <v>16</v>
      </c>
      <c r="D233" t="s">
        <v>25</v>
      </c>
      <c r="E233" t="s">
        <v>28</v>
      </c>
      <c r="F233">
        <v>179</v>
      </c>
      <c r="G233">
        <v>254</v>
      </c>
      <c r="H233">
        <v>45466</v>
      </c>
      <c r="I233">
        <v>8530</v>
      </c>
    </row>
    <row r="234" spans="1:9">
      <c r="A234" s="2">
        <v>45139</v>
      </c>
      <c r="B234">
        <v>2023</v>
      </c>
      <c r="C234" t="s">
        <v>16</v>
      </c>
      <c r="D234" t="s">
        <v>25</v>
      </c>
      <c r="E234" t="s">
        <v>29</v>
      </c>
      <c r="F234">
        <v>108</v>
      </c>
      <c r="G234">
        <v>259</v>
      </c>
      <c r="H234">
        <v>27972</v>
      </c>
      <c r="I234">
        <v>5258</v>
      </c>
    </row>
    <row r="235" spans="1:9">
      <c r="A235" s="2">
        <v>45139</v>
      </c>
      <c r="B235">
        <v>2023</v>
      </c>
      <c r="C235" t="s">
        <v>16</v>
      </c>
      <c r="D235" t="s">
        <v>25</v>
      </c>
      <c r="E235" t="s">
        <v>30</v>
      </c>
      <c r="F235">
        <v>301</v>
      </c>
      <c r="G235">
        <v>232</v>
      </c>
      <c r="H235">
        <v>69832</v>
      </c>
      <c r="I235">
        <v>9955</v>
      </c>
    </row>
    <row r="236" spans="1:9">
      <c r="A236" s="2">
        <v>45139</v>
      </c>
      <c r="B236">
        <v>2023</v>
      </c>
      <c r="C236" t="s">
        <v>16</v>
      </c>
      <c r="D236" t="s">
        <v>25</v>
      </c>
      <c r="E236" t="s">
        <v>31</v>
      </c>
      <c r="F236">
        <v>81</v>
      </c>
      <c r="G236">
        <v>281</v>
      </c>
      <c r="H236">
        <v>22761</v>
      </c>
      <c r="I236">
        <v>4350</v>
      </c>
    </row>
    <row r="237" spans="1:9">
      <c r="A237" s="2">
        <v>45139</v>
      </c>
      <c r="B237">
        <v>2023</v>
      </c>
      <c r="C237" t="s">
        <v>16</v>
      </c>
      <c r="D237" t="s">
        <v>26</v>
      </c>
      <c r="E237" t="s">
        <v>27</v>
      </c>
      <c r="F237">
        <v>376</v>
      </c>
      <c r="G237">
        <v>401</v>
      </c>
      <c r="H237">
        <v>150776</v>
      </c>
      <c r="I237">
        <v>28778</v>
      </c>
    </row>
    <row r="238" spans="1:9">
      <c r="A238" s="2">
        <v>45139</v>
      </c>
      <c r="B238">
        <v>2023</v>
      </c>
      <c r="C238" t="s">
        <v>16</v>
      </c>
      <c r="D238" t="s">
        <v>26</v>
      </c>
      <c r="E238" t="s">
        <v>28</v>
      </c>
      <c r="F238">
        <v>352</v>
      </c>
      <c r="G238">
        <v>315</v>
      </c>
      <c r="H238">
        <v>110880</v>
      </c>
      <c r="I238">
        <v>14835</v>
      </c>
    </row>
    <row r="239" spans="1:9">
      <c r="A239" s="2">
        <v>45139</v>
      </c>
      <c r="B239">
        <v>2023</v>
      </c>
      <c r="C239" t="s">
        <v>16</v>
      </c>
      <c r="D239" t="s">
        <v>26</v>
      </c>
      <c r="E239" t="s">
        <v>29</v>
      </c>
      <c r="F239">
        <v>142</v>
      </c>
      <c r="G239">
        <v>336</v>
      </c>
      <c r="H239">
        <v>47712</v>
      </c>
      <c r="I239">
        <v>5921</v>
      </c>
    </row>
    <row r="240" spans="1:9">
      <c r="A240" s="2">
        <v>45139</v>
      </c>
      <c r="B240">
        <v>2023</v>
      </c>
      <c r="C240" t="s">
        <v>16</v>
      </c>
      <c r="D240" t="s">
        <v>26</v>
      </c>
      <c r="E240" t="s">
        <v>30</v>
      </c>
      <c r="F240">
        <v>379</v>
      </c>
      <c r="G240">
        <v>385</v>
      </c>
      <c r="H240">
        <v>145915</v>
      </c>
      <c r="I240">
        <v>15809</v>
      </c>
    </row>
    <row r="241" spans="1:9">
      <c r="A241" s="2">
        <v>45139</v>
      </c>
      <c r="B241">
        <v>2023</v>
      </c>
      <c r="C241" t="s">
        <v>16</v>
      </c>
      <c r="D241" t="s">
        <v>26</v>
      </c>
      <c r="E241" t="s">
        <v>31</v>
      </c>
      <c r="F241">
        <v>206</v>
      </c>
      <c r="G241">
        <v>322</v>
      </c>
      <c r="H241">
        <v>66332</v>
      </c>
      <c r="I241">
        <v>11851</v>
      </c>
    </row>
    <row r="242" spans="1:9">
      <c r="A242" s="2">
        <v>45170</v>
      </c>
      <c r="B242">
        <v>2023</v>
      </c>
      <c r="C242" t="s">
        <v>17</v>
      </c>
      <c r="D242" t="s">
        <v>21</v>
      </c>
      <c r="E242" t="s">
        <v>27</v>
      </c>
      <c r="F242">
        <v>113</v>
      </c>
      <c r="G242">
        <v>1289</v>
      </c>
      <c r="H242">
        <v>145657</v>
      </c>
      <c r="I242">
        <v>36354</v>
      </c>
    </row>
    <row r="243" spans="1:9">
      <c r="A243" s="2">
        <v>45170</v>
      </c>
      <c r="B243">
        <v>2023</v>
      </c>
      <c r="C243" t="s">
        <v>17</v>
      </c>
      <c r="D243" t="s">
        <v>21</v>
      </c>
      <c r="E243" t="s">
        <v>28</v>
      </c>
      <c r="F243">
        <v>80</v>
      </c>
      <c r="G243">
        <v>1199</v>
      </c>
      <c r="H243">
        <v>95920</v>
      </c>
      <c r="I243">
        <v>23540</v>
      </c>
    </row>
    <row r="244" spans="1:9">
      <c r="A244" s="2">
        <v>45170</v>
      </c>
      <c r="B244">
        <v>2023</v>
      </c>
      <c r="C244" t="s">
        <v>17</v>
      </c>
      <c r="D244" t="s">
        <v>21</v>
      </c>
      <c r="E244" t="s">
        <v>29</v>
      </c>
      <c r="F244">
        <v>78</v>
      </c>
      <c r="G244">
        <v>1081</v>
      </c>
      <c r="H244">
        <v>84318</v>
      </c>
      <c r="I244">
        <v>20764</v>
      </c>
    </row>
    <row r="245" spans="1:9">
      <c r="A245" s="2">
        <v>45170</v>
      </c>
      <c r="B245">
        <v>2023</v>
      </c>
      <c r="C245" t="s">
        <v>17</v>
      </c>
      <c r="D245" t="s">
        <v>21</v>
      </c>
      <c r="E245" t="s">
        <v>30</v>
      </c>
      <c r="F245">
        <v>164</v>
      </c>
      <c r="G245">
        <v>1131</v>
      </c>
      <c r="H245">
        <v>185484</v>
      </c>
      <c r="I245">
        <v>37151</v>
      </c>
    </row>
    <row r="246" spans="1:9">
      <c r="A246" s="2">
        <v>45170</v>
      </c>
      <c r="B246">
        <v>2023</v>
      </c>
      <c r="C246" t="s">
        <v>17</v>
      </c>
      <c r="D246" t="s">
        <v>21</v>
      </c>
      <c r="E246" t="s">
        <v>31</v>
      </c>
      <c r="F246">
        <v>259</v>
      </c>
      <c r="G246">
        <v>1247</v>
      </c>
      <c r="H246">
        <v>322973</v>
      </c>
      <c r="I246">
        <v>59989</v>
      </c>
    </row>
    <row r="247" spans="1:9">
      <c r="A247" s="2">
        <v>45170</v>
      </c>
      <c r="B247">
        <v>2023</v>
      </c>
      <c r="C247" t="s">
        <v>17</v>
      </c>
      <c r="D247" t="s">
        <v>22</v>
      </c>
      <c r="E247" t="s">
        <v>27</v>
      </c>
      <c r="F247">
        <v>239</v>
      </c>
      <c r="G247">
        <v>873</v>
      </c>
      <c r="H247">
        <v>208647</v>
      </c>
      <c r="I247">
        <v>26718</v>
      </c>
    </row>
    <row r="248" spans="1:9">
      <c r="A248" s="2">
        <v>45170</v>
      </c>
      <c r="B248">
        <v>2023</v>
      </c>
      <c r="C248" t="s">
        <v>17</v>
      </c>
      <c r="D248" t="s">
        <v>22</v>
      </c>
      <c r="E248" t="s">
        <v>28</v>
      </c>
      <c r="F248">
        <v>187</v>
      </c>
      <c r="G248">
        <v>862</v>
      </c>
      <c r="H248">
        <v>161194</v>
      </c>
      <c r="I248">
        <v>20943</v>
      </c>
    </row>
    <row r="249" spans="1:9">
      <c r="A249" s="2">
        <v>45170</v>
      </c>
      <c r="B249">
        <v>2023</v>
      </c>
      <c r="C249" t="s">
        <v>17</v>
      </c>
      <c r="D249" t="s">
        <v>22</v>
      </c>
      <c r="E249" t="s">
        <v>29</v>
      </c>
      <c r="F249">
        <v>94</v>
      </c>
      <c r="G249">
        <v>768</v>
      </c>
      <c r="H249">
        <v>72192</v>
      </c>
      <c r="I249">
        <v>8462</v>
      </c>
    </row>
    <row r="250" spans="1:9">
      <c r="A250" s="2">
        <v>45170</v>
      </c>
      <c r="B250">
        <v>2023</v>
      </c>
      <c r="C250" t="s">
        <v>17</v>
      </c>
      <c r="D250" t="s">
        <v>22</v>
      </c>
      <c r="E250" t="s">
        <v>30</v>
      </c>
      <c r="F250">
        <v>160</v>
      </c>
      <c r="G250">
        <v>873</v>
      </c>
      <c r="H250">
        <v>139680</v>
      </c>
      <c r="I250">
        <v>15796</v>
      </c>
    </row>
    <row r="251" spans="1:9">
      <c r="A251" s="2">
        <v>45170</v>
      </c>
      <c r="B251">
        <v>2023</v>
      </c>
      <c r="C251" t="s">
        <v>17</v>
      </c>
      <c r="D251" t="s">
        <v>22</v>
      </c>
      <c r="E251" t="s">
        <v>31</v>
      </c>
      <c r="F251">
        <v>207</v>
      </c>
      <c r="G251">
        <v>906</v>
      </c>
      <c r="H251">
        <v>187542</v>
      </c>
      <c r="I251">
        <v>27774</v>
      </c>
    </row>
    <row r="252" spans="1:9">
      <c r="A252" s="2">
        <v>45170</v>
      </c>
      <c r="B252">
        <v>2023</v>
      </c>
      <c r="C252" t="s">
        <v>17</v>
      </c>
      <c r="D252" t="s">
        <v>23</v>
      </c>
      <c r="E252" t="s">
        <v>27</v>
      </c>
      <c r="F252">
        <v>321</v>
      </c>
      <c r="G252">
        <v>109</v>
      </c>
      <c r="H252">
        <v>34989</v>
      </c>
      <c r="I252">
        <v>5265</v>
      </c>
    </row>
    <row r="253" spans="1:9">
      <c r="A253" s="2">
        <v>45170</v>
      </c>
      <c r="B253">
        <v>2023</v>
      </c>
      <c r="C253" t="s">
        <v>17</v>
      </c>
      <c r="D253" t="s">
        <v>23</v>
      </c>
      <c r="E253" t="s">
        <v>28</v>
      </c>
      <c r="F253">
        <v>84</v>
      </c>
      <c r="G253">
        <v>124</v>
      </c>
      <c r="H253">
        <v>10416</v>
      </c>
      <c r="I253">
        <v>1899</v>
      </c>
    </row>
    <row r="254" spans="1:9">
      <c r="A254" s="2">
        <v>45170</v>
      </c>
      <c r="B254">
        <v>2023</v>
      </c>
      <c r="C254" t="s">
        <v>17</v>
      </c>
      <c r="D254" t="s">
        <v>23</v>
      </c>
      <c r="E254" t="s">
        <v>29</v>
      </c>
      <c r="F254">
        <v>87</v>
      </c>
      <c r="G254">
        <v>128</v>
      </c>
      <c r="H254">
        <v>11136</v>
      </c>
      <c r="I254">
        <v>1260</v>
      </c>
    </row>
    <row r="255" spans="1:9">
      <c r="A255" s="2">
        <v>45170</v>
      </c>
      <c r="B255">
        <v>2023</v>
      </c>
      <c r="C255" t="s">
        <v>17</v>
      </c>
      <c r="D255" t="s">
        <v>23</v>
      </c>
      <c r="E255" t="s">
        <v>30</v>
      </c>
      <c r="F255">
        <v>378</v>
      </c>
      <c r="G255">
        <v>128</v>
      </c>
      <c r="H255">
        <v>48384</v>
      </c>
      <c r="I255">
        <v>10355</v>
      </c>
    </row>
    <row r="256" spans="1:9">
      <c r="A256" s="2">
        <v>45170</v>
      </c>
      <c r="B256">
        <v>2023</v>
      </c>
      <c r="C256" t="s">
        <v>17</v>
      </c>
      <c r="D256" t="s">
        <v>23</v>
      </c>
      <c r="E256" t="s">
        <v>31</v>
      </c>
      <c r="F256">
        <v>111</v>
      </c>
      <c r="G256">
        <v>120</v>
      </c>
      <c r="H256">
        <v>13320</v>
      </c>
      <c r="I256">
        <v>2029</v>
      </c>
    </row>
    <row r="257" spans="1:9">
      <c r="A257" s="2">
        <v>45170</v>
      </c>
      <c r="B257">
        <v>2023</v>
      </c>
      <c r="C257" t="s">
        <v>17</v>
      </c>
      <c r="D257" t="s">
        <v>24</v>
      </c>
      <c r="E257" t="s">
        <v>27</v>
      </c>
      <c r="F257">
        <v>364</v>
      </c>
      <c r="G257">
        <v>667</v>
      </c>
      <c r="H257">
        <v>242788</v>
      </c>
      <c r="I257">
        <v>51445</v>
      </c>
    </row>
    <row r="258" spans="1:9">
      <c r="A258" s="2">
        <v>45170</v>
      </c>
      <c r="B258">
        <v>2023</v>
      </c>
      <c r="C258" t="s">
        <v>17</v>
      </c>
      <c r="D258" t="s">
        <v>24</v>
      </c>
      <c r="E258" t="s">
        <v>28</v>
      </c>
      <c r="F258">
        <v>205</v>
      </c>
      <c r="G258">
        <v>570</v>
      </c>
      <c r="H258">
        <v>116850</v>
      </c>
      <c r="I258">
        <v>18331</v>
      </c>
    </row>
    <row r="259" spans="1:9">
      <c r="A259" s="2">
        <v>45170</v>
      </c>
      <c r="B259">
        <v>2023</v>
      </c>
      <c r="C259" t="s">
        <v>17</v>
      </c>
      <c r="D259" t="s">
        <v>24</v>
      </c>
      <c r="E259" t="s">
        <v>29</v>
      </c>
      <c r="F259">
        <v>76</v>
      </c>
      <c r="G259">
        <v>651</v>
      </c>
      <c r="H259">
        <v>49476</v>
      </c>
      <c r="I259">
        <v>9210</v>
      </c>
    </row>
    <row r="260" spans="1:9">
      <c r="A260" s="2">
        <v>45170</v>
      </c>
      <c r="B260">
        <v>2023</v>
      </c>
      <c r="C260" t="s">
        <v>17</v>
      </c>
      <c r="D260" t="s">
        <v>24</v>
      </c>
      <c r="E260" t="s">
        <v>30</v>
      </c>
      <c r="F260">
        <v>379</v>
      </c>
      <c r="G260">
        <v>657</v>
      </c>
      <c r="H260">
        <v>249003</v>
      </c>
      <c r="I260">
        <v>55824</v>
      </c>
    </row>
    <row r="261" spans="1:9">
      <c r="A261" s="2">
        <v>45170</v>
      </c>
      <c r="B261">
        <v>2023</v>
      </c>
      <c r="C261" t="s">
        <v>17</v>
      </c>
      <c r="D261" t="s">
        <v>24</v>
      </c>
      <c r="E261" t="s">
        <v>31</v>
      </c>
      <c r="F261">
        <v>292</v>
      </c>
      <c r="G261">
        <v>570</v>
      </c>
      <c r="H261">
        <v>166440</v>
      </c>
      <c r="I261">
        <v>20729</v>
      </c>
    </row>
    <row r="262" spans="1:9">
      <c r="A262" s="2">
        <v>45170</v>
      </c>
      <c r="B262">
        <v>2023</v>
      </c>
      <c r="C262" t="s">
        <v>17</v>
      </c>
      <c r="D262" t="s">
        <v>25</v>
      </c>
      <c r="E262" t="s">
        <v>27</v>
      </c>
      <c r="F262">
        <v>277</v>
      </c>
      <c r="G262">
        <v>236</v>
      </c>
      <c r="H262">
        <v>65372</v>
      </c>
      <c r="I262">
        <v>8848</v>
      </c>
    </row>
    <row r="263" spans="1:9">
      <c r="A263" s="2">
        <v>45170</v>
      </c>
      <c r="B263">
        <v>2023</v>
      </c>
      <c r="C263" t="s">
        <v>17</v>
      </c>
      <c r="D263" t="s">
        <v>25</v>
      </c>
      <c r="E263" t="s">
        <v>28</v>
      </c>
      <c r="F263">
        <v>149</v>
      </c>
      <c r="G263">
        <v>257</v>
      </c>
      <c r="H263">
        <v>38293</v>
      </c>
      <c r="I263">
        <v>5890</v>
      </c>
    </row>
    <row r="264" spans="1:9">
      <c r="A264" s="2">
        <v>45170</v>
      </c>
      <c r="B264">
        <v>2023</v>
      </c>
      <c r="C264" t="s">
        <v>17</v>
      </c>
      <c r="D264" t="s">
        <v>25</v>
      </c>
      <c r="E264" t="s">
        <v>29</v>
      </c>
      <c r="F264">
        <v>300</v>
      </c>
      <c r="G264">
        <v>261</v>
      </c>
      <c r="H264">
        <v>78300</v>
      </c>
      <c r="I264">
        <v>15851</v>
      </c>
    </row>
    <row r="265" spans="1:9">
      <c r="A265" s="2">
        <v>45170</v>
      </c>
      <c r="B265">
        <v>2023</v>
      </c>
      <c r="C265" t="s">
        <v>17</v>
      </c>
      <c r="D265" t="s">
        <v>25</v>
      </c>
      <c r="E265" t="s">
        <v>30</v>
      </c>
      <c r="F265">
        <v>355</v>
      </c>
      <c r="G265">
        <v>269</v>
      </c>
      <c r="H265">
        <v>95495</v>
      </c>
      <c r="I265">
        <v>22436</v>
      </c>
    </row>
    <row r="266" spans="1:9">
      <c r="A266" s="2">
        <v>45170</v>
      </c>
      <c r="B266">
        <v>2023</v>
      </c>
      <c r="C266" t="s">
        <v>17</v>
      </c>
      <c r="D266" t="s">
        <v>25</v>
      </c>
      <c r="E266" t="s">
        <v>31</v>
      </c>
      <c r="F266">
        <v>193</v>
      </c>
      <c r="G266">
        <v>243</v>
      </c>
      <c r="H266">
        <v>46899</v>
      </c>
      <c r="I266">
        <v>9949</v>
      </c>
    </row>
    <row r="267" spans="1:9">
      <c r="A267" s="2">
        <v>45170</v>
      </c>
      <c r="B267">
        <v>2023</v>
      </c>
      <c r="C267" t="s">
        <v>17</v>
      </c>
      <c r="D267" t="s">
        <v>26</v>
      </c>
      <c r="E267" t="s">
        <v>27</v>
      </c>
      <c r="F267">
        <v>210</v>
      </c>
      <c r="G267">
        <v>365</v>
      </c>
      <c r="H267">
        <v>76650</v>
      </c>
      <c r="I267">
        <v>11750</v>
      </c>
    </row>
    <row r="268" spans="1:9">
      <c r="A268" s="2">
        <v>45170</v>
      </c>
      <c r="B268">
        <v>2023</v>
      </c>
      <c r="C268" t="s">
        <v>17</v>
      </c>
      <c r="D268" t="s">
        <v>26</v>
      </c>
      <c r="E268" t="s">
        <v>28</v>
      </c>
      <c r="F268">
        <v>368</v>
      </c>
      <c r="G268">
        <v>394</v>
      </c>
      <c r="H268">
        <v>144992</v>
      </c>
      <c r="I268">
        <v>28075</v>
      </c>
    </row>
    <row r="269" spans="1:9">
      <c r="A269" s="2">
        <v>45170</v>
      </c>
      <c r="B269">
        <v>2023</v>
      </c>
      <c r="C269" t="s">
        <v>17</v>
      </c>
      <c r="D269" t="s">
        <v>26</v>
      </c>
      <c r="E269" t="s">
        <v>29</v>
      </c>
      <c r="F269">
        <v>263</v>
      </c>
      <c r="G269">
        <v>397</v>
      </c>
      <c r="H269">
        <v>104411</v>
      </c>
      <c r="I269">
        <v>20272</v>
      </c>
    </row>
    <row r="270" spans="1:9">
      <c r="A270" s="2">
        <v>45170</v>
      </c>
      <c r="B270">
        <v>2023</v>
      </c>
      <c r="C270" t="s">
        <v>17</v>
      </c>
      <c r="D270" t="s">
        <v>26</v>
      </c>
      <c r="E270" t="s">
        <v>30</v>
      </c>
      <c r="F270">
        <v>114</v>
      </c>
      <c r="G270">
        <v>327</v>
      </c>
      <c r="H270">
        <v>37278</v>
      </c>
      <c r="I270">
        <v>8167</v>
      </c>
    </row>
    <row r="271" spans="1:9">
      <c r="A271" s="2">
        <v>45170</v>
      </c>
      <c r="B271">
        <v>2023</v>
      </c>
      <c r="C271" t="s">
        <v>17</v>
      </c>
      <c r="D271" t="s">
        <v>26</v>
      </c>
      <c r="E271" t="s">
        <v>31</v>
      </c>
      <c r="F271">
        <v>224</v>
      </c>
      <c r="G271">
        <v>358</v>
      </c>
      <c r="H271">
        <v>80192</v>
      </c>
      <c r="I271">
        <v>16938</v>
      </c>
    </row>
    <row r="272" spans="1:9">
      <c r="A272" s="2">
        <v>45200</v>
      </c>
      <c r="B272">
        <v>2023</v>
      </c>
      <c r="C272" t="s">
        <v>18</v>
      </c>
      <c r="D272" t="s">
        <v>21</v>
      </c>
      <c r="E272" t="s">
        <v>27</v>
      </c>
      <c r="F272">
        <v>225</v>
      </c>
      <c r="G272">
        <v>1125</v>
      </c>
      <c r="H272">
        <v>253125</v>
      </c>
      <c r="I272">
        <v>37148</v>
      </c>
    </row>
    <row r="273" spans="1:9">
      <c r="A273" s="2">
        <v>45200</v>
      </c>
      <c r="B273">
        <v>2023</v>
      </c>
      <c r="C273" t="s">
        <v>18</v>
      </c>
      <c r="D273" t="s">
        <v>21</v>
      </c>
      <c r="E273" t="s">
        <v>28</v>
      </c>
      <c r="F273">
        <v>352</v>
      </c>
      <c r="G273">
        <v>1090</v>
      </c>
      <c r="H273">
        <v>383680</v>
      </c>
      <c r="I273">
        <v>71166</v>
      </c>
    </row>
    <row r="274" spans="1:9">
      <c r="A274" s="2">
        <v>45200</v>
      </c>
      <c r="B274">
        <v>2023</v>
      </c>
      <c r="C274" t="s">
        <v>18</v>
      </c>
      <c r="D274" t="s">
        <v>21</v>
      </c>
      <c r="E274" t="s">
        <v>29</v>
      </c>
      <c r="F274">
        <v>85</v>
      </c>
      <c r="G274">
        <v>1228</v>
      </c>
      <c r="H274">
        <v>104380</v>
      </c>
      <c r="I274">
        <v>22253</v>
      </c>
    </row>
    <row r="275" spans="1:9">
      <c r="A275" s="2">
        <v>45200</v>
      </c>
      <c r="B275">
        <v>2023</v>
      </c>
      <c r="C275" t="s">
        <v>18</v>
      </c>
      <c r="D275" t="s">
        <v>21</v>
      </c>
      <c r="E275" t="s">
        <v>30</v>
      </c>
      <c r="F275">
        <v>188</v>
      </c>
      <c r="G275">
        <v>1326</v>
      </c>
      <c r="H275">
        <v>249288</v>
      </c>
      <c r="I275">
        <v>29065</v>
      </c>
    </row>
    <row r="276" spans="1:9">
      <c r="A276" s="2">
        <v>45200</v>
      </c>
      <c r="B276">
        <v>2023</v>
      </c>
      <c r="C276" t="s">
        <v>18</v>
      </c>
      <c r="D276" t="s">
        <v>21</v>
      </c>
      <c r="E276" t="s">
        <v>31</v>
      </c>
      <c r="F276">
        <v>293</v>
      </c>
      <c r="G276">
        <v>1217</v>
      </c>
      <c r="H276">
        <v>356581</v>
      </c>
      <c r="I276">
        <v>67962</v>
      </c>
    </row>
    <row r="277" spans="1:9">
      <c r="A277" s="2">
        <v>45200</v>
      </c>
      <c r="B277">
        <v>2023</v>
      </c>
      <c r="C277" t="s">
        <v>18</v>
      </c>
      <c r="D277" t="s">
        <v>22</v>
      </c>
      <c r="E277" t="s">
        <v>27</v>
      </c>
      <c r="F277">
        <v>89</v>
      </c>
      <c r="G277">
        <v>879</v>
      </c>
      <c r="H277">
        <v>78231</v>
      </c>
      <c r="I277">
        <v>9582</v>
      </c>
    </row>
    <row r="278" spans="1:9">
      <c r="A278" s="2">
        <v>45200</v>
      </c>
      <c r="B278">
        <v>2023</v>
      </c>
      <c r="C278" t="s">
        <v>18</v>
      </c>
      <c r="D278" t="s">
        <v>22</v>
      </c>
      <c r="E278" t="s">
        <v>28</v>
      </c>
      <c r="F278">
        <v>120</v>
      </c>
      <c r="G278">
        <v>801</v>
      </c>
      <c r="H278">
        <v>96120</v>
      </c>
      <c r="I278">
        <v>20740</v>
      </c>
    </row>
    <row r="279" spans="1:9">
      <c r="A279" s="2">
        <v>45200</v>
      </c>
      <c r="B279">
        <v>2023</v>
      </c>
      <c r="C279" t="s">
        <v>18</v>
      </c>
      <c r="D279" t="s">
        <v>22</v>
      </c>
      <c r="E279" t="s">
        <v>29</v>
      </c>
      <c r="F279">
        <v>166</v>
      </c>
      <c r="G279">
        <v>839</v>
      </c>
      <c r="H279">
        <v>139274</v>
      </c>
      <c r="I279">
        <v>25741</v>
      </c>
    </row>
    <row r="280" spans="1:9">
      <c r="A280" s="2">
        <v>45200</v>
      </c>
      <c r="B280">
        <v>2023</v>
      </c>
      <c r="C280" t="s">
        <v>18</v>
      </c>
      <c r="D280" t="s">
        <v>22</v>
      </c>
      <c r="E280" t="s">
        <v>30</v>
      </c>
      <c r="F280">
        <v>345</v>
      </c>
      <c r="G280">
        <v>770</v>
      </c>
      <c r="H280">
        <v>265650</v>
      </c>
      <c r="I280">
        <v>40340</v>
      </c>
    </row>
    <row r="281" spans="1:9">
      <c r="A281" s="2">
        <v>45200</v>
      </c>
      <c r="B281">
        <v>2023</v>
      </c>
      <c r="C281" t="s">
        <v>18</v>
      </c>
      <c r="D281" t="s">
        <v>22</v>
      </c>
      <c r="E281" t="s">
        <v>31</v>
      </c>
      <c r="F281">
        <v>86</v>
      </c>
      <c r="G281">
        <v>911</v>
      </c>
      <c r="H281">
        <v>78346</v>
      </c>
      <c r="I281">
        <v>11859</v>
      </c>
    </row>
    <row r="282" spans="1:9">
      <c r="A282" s="2">
        <v>45200</v>
      </c>
      <c r="B282">
        <v>2023</v>
      </c>
      <c r="C282" t="s">
        <v>18</v>
      </c>
      <c r="D282" t="s">
        <v>23</v>
      </c>
      <c r="E282" t="s">
        <v>27</v>
      </c>
      <c r="F282">
        <v>203</v>
      </c>
      <c r="G282">
        <v>120</v>
      </c>
      <c r="H282">
        <v>24360</v>
      </c>
      <c r="I282">
        <v>4124</v>
      </c>
    </row>
    <row r="283" spans="1:9">
      <c r="A283" s="2">
        <v>45200</v>
      </c>
      <c r="B283">
        <v>2023</v>
      </c>
      <c r="C283" t="s">
        <v>18</v>
      </c>
      <c r="D283" t="s">
        <v>23</v>
      </c>
      <c r="E283" t="s">
        <v>28</v>
      </c>
      <c r="F283">
        <v>364</v>
      </c>
      <c r="G283">
        <v>126</v>
      </c>
      <c r="H283">
        <v>45864</v>
      </c>
      <c r="I283">
        <v>10859</v>
      </c>
    </row>
    <row r="284" spans="1:9">
      <c r="A284" s="2">
        <v>45200</v>
      </c>
      <c r="B284">
        <v>2023</v>
      </c>
      <c r="C284" t="s">
        <v>18</v>
      </c>
      <c r="D284" t="s">
        <v>23</v>
      </c>
      <c r="E284" t="s">
        <v>29</v>
      </c>
      <c r="F284">
        <v>175</v>
      </c>
      <c r="G284">
        <v>123</v>
      </c>
      <c r="H284">
        <v>21525</v>
      </c>
      <c r="I284">
        <v>4126</v>
      </c>
    </row>
    <row r="285" spans="1:9">
      <c r="A285" s="2">
        <v>45200</v>
      </c>
      <c r="B285">
        <v>2023</v>
      </c>
      <c r="C285" t="s">
        <v>18</v>
      </c>
      <c r="D285" t="s">
        <v>23</v>
      </c>
      <c r="E285" t="s">
        <v>30</v>
      </c>
      <c r="F285">
        <v>181</v>
      </c>
      <c r="G285">
        <v>129</v>
      </c>
      <c r="H285">
        <v>23349</v>
      </c>
      <c r="I285">
        <v>4411</v>
      </c>
    </row>
    <row r="286" spans="1:9">
      <c r="A286" s="2">
        <v>45200</v>
      </c>
      <c r="B286">
        <v>2023</v>
      </c>
      <c r="C286" t="s">
        <v>18</v>
      </c>
      <c r="D286" t="s">
        <v>23</v>
      </c>
      <c r="E286" t="s">
        <v>31</v>
      </c>
      <c r="F286">
        <v>202</v>
      </c>
      <c r="G286">
        <v>135</v>
      </c>
      <c r="H286">
        <v>27270</v>
      </c>
      <c r="I286">
        <v>5619</v>
      </c>
    </row>
    <row r="287" spans="1:9">
      <c r="A287" s="2">
        <v>45200</v>
      </c>
      <c r="B287">
        <v>2023</v>
      </c>
      <c r="C287" t="s">
        <v>18</v>
      </c>
      <c r="D287" t="s">
        <v>24</v>
      </c>
      <c r="E287" t="s">
        <v>27</v>
      </c>
      <c r="F287">
        <v>176</v>
      </c>
      <c r="G287">
        <v>655</v>
      </c>
      <c r="H287">
        <v>115280</v>
      </c>
      <c r="I287">
        <v>18002</v>
      </c>
    </row>
    <row r="288" spans="1:9">
      <c r="A288" s="2">
        <v>45200</v>
      </c>
      <c r="B288">
        <v>2023</v>
      </c>
      <c r="C288" t="s">
        <v>18</v>
      </c>
      <c r="D288" t="s">
        <v>24</v>
      </c>
      <c r="E288" t="s">
        <v>28</v>
      </c>
      <c r="F288">
        <v>124</v>
      </c>
      <c r="G288">
        <v>650</v>
      </c>
      <c r="H288">
        <v>80600</v>
      </c>
      <c r="I288">
        <v>19356</v>
      </c>
    </row>
    <row r="289" spans="1:9">
      <c r="A289" s="2">
        <v>45200</v>
      </c>
      <c r="B289">
        <v>2023</v>
      </c>
      <c r="C289" t="s">
        <v>18</v>
      </c>
      <c r="D289" t="s">
        <v>24</v>
      </c>
      <c r="E289" t="s">
        <v>29</v>
      </c>
      <c r="F289">
        <v>280</v>
      </c>
      <c r="G289">
        <v>676</v>
      </c>
      <c r="H289">
        <v>189280</v>
      </c>
      <c r="I289">
        <v>22414</v>
      </c>
    </row>
    <row r="290" spans="1:9">
      <c r="A290" s="2">
        <v>45200</v>
      </c>
      <c r="B290">
        <v>2023</v>
      </c>
      <c r="C290" t="s">
        <v>18</v>
      </c>
      <c r="D290" t="s">
        <v>24</v>
      </c>
      <c r="E290" t="s">
        <v>30</v>
      </c>
      <c r="F290">
        <v>172</v>
      </c>
      <c r="G290">
        <v>687</v>
      </c>
      <c r="H290">
        <v>118164</v>
      </c>
      <c r="I290">
        <v>26685</v>
      </c>
    </row>
    <row r="291" spans="1:9">
      <c r="A291" s="2">
        <v>45200</v>
      </c>
      <c r="B291">
        <v>2023</v>
      </c>
      <c r="C291" t="s">
        <v>18</v>
      </c>
      <c r="D291" t="s">
        <v>24</v>
      </c>
      <c r="E291" t="s">
        <v>31</v>
      </c>
      <c r="F291">
        <v>249</v>
      </c>
      <c r="G291">
        <v>665</v>
      </c>
      <c r="H291">
        <v>165585</v>
      </c>
      <c r="I291">
        <v>24808</v>
      </c>
    </row>
    <row r="292" spans="1:9">
      <c r="A292" s="2">
        <v>45200</v>
      </c>
      <c r="B292">
        <v>2023</v>
      </c>
      <c r="C292" t="s">
        <v>18</v>
      </c>
      <c r="D292" t="s">
        <v>25</v>
      </c>
      <c r="E292" t="s">
        <v>27</v>
      </c>
      <c r="F292">
        <v>128</v>
      </c>
      <c r="G292">
        <v>239</v>
      </c>
      <c r="H292">
        <v>30592</v>
      </c>
      <c r="I292">
        <v>5848</v>
      </c>
    </row>
    <row r="293" spans="1:9">
      <c r="A293" s="2">
        <v>45200</v>
      </c>
      <c r="B293">
        <v>2023</v>
      </c>
      <c r="C293" t="s">
        <v>18</v>
      </c>
      <c r="D293" t="s">
        <v>25</v>
      </c>
      <c r="E293" t="s">
        <v>28</v>
      </c>
      <c r="F293">
        <v>371</v>
      </c>
      <c r="G293">
        <v>245</v>
      </c>
      <c r="H293">
        <v>90895</v>
      </c>
      <c r="I293">
        <v>20035</v>
      </c>
    </row>
    <row r="294" spans="1:9">
      <c r="A294" s="2">
        <v>45200</v>
      </c>
      <c r="B294">
        <v>2023</v>
      </c>
      <c r="C294" t="s">
        <v>18</v>
      </c>
      <c r="D294" t="s">
        <v>25</v>
      </c>
      <c r="E294" t="s">
        <v>29</v>
      </c>
      <c r="F294">
        <v>187</v>
      </c>
      <c r="G294">
        <v>262</v>
      </c>
      <c r="H294">
        <v>48994</v>
      </c>
      <c r="I294">
        <v>5739</v>
      </c>
    </row>
    <row r="295" spans="1:9">
      <c r="A295" s="2">
        <v>45200</v>
      </c>
      <c r="B295">
        <v>2023</v>
      </c>
      <c r="C295" t="s">
        <v>18</v>
      </c>
      <c r="D295" t="s">
        <v>25</v>
      </c>
      <c r="E295" t="s">
        <v>30</v>
      </c>
      <c r="F295">
        <v>309</v>
      </c>
      <c r="G295">
        <v>258</v>
      </c>
      <c r="H295">
        <v>79722</v>
      </c>
      <c r="I295">
        <v>18972</v>
      </c>
    </row>
    <row r="296" spans="1:9">
      <c r="A296" s="2">
        <v>45200</v>
      </c>
      <c r="B296">
        <v>2023</v>
      </c>
      <c r="C296" t="s">
        <v>18</v>
      </c>
      <c r="D296" t="s">
        <v>25</v>
      </c>
      <c r="E296" t="s">
        <v>31</v>
      </c>
      <c r="F296">
        <v>276</v>
      </c>
      <c r="G296">
        <v>255</v>
      </c>
      <c r="H296">
        <v>70380</v>
      </c>
      <c r="I296">
        <v>16734</v>
      </c>
    </row>
    <row r="297" spans="1:9">
      <c r="A297" s="2">
        <v>45200</v>
      </c>
      <c r="B297">
        <v>2023</v>
      </c>
      <c r="C297" t="s">
        <v>18</v>
      </c>
      <c r="D297" t="s">
        <v>26</v>
      </c>
      <c r="E297" t="s">
        <v>27</v>
      </c>
      <c r="F297">
        <v>198</v>
      </c>
      <c r="G297">
        <v>334</v>
      </c>
      <c r="H297">
        <v>66132</v>
      </c>
      <c r="I297">
        <v>11101</v>
      </c>
    </row>
    <row r="298" spans="1:9">
      <c r="A298" s="2">
        <v>45200</v>
      </c>
      <c r="B298">
        <v>2023</v>
      </c>
      <c r="C298" t="s">
        <v>18</v>
      </c>
      <c r="D298" t="s">
        <v>26</v>
      </c>
      <c r="E298" t="s">
        <v>28</v>
      </c>
      <c r="F298">
        <v>246</v>
      </c>
      <c r="G298">
        <v>336</v>
      </c>
      <c r="H298">
        <v>82656</v>
      </c>
      <c r="I298">
        <v>15427</v>
      </c>
    </row>
    <row r="299" spans="1:9">
      <c r="A299" s="2">
        <v>45200</v>
      </c>
      <c r="B299">
        <v>2023</v>
      </c>
      <c r="C299" t="s">
        <v>18</v>
      </c>
      <c r="D299" t="s">
        <v>26</v>
      </c>
      <c r="E299" t="s">
        <v>29</v>
      </c>
      <c r="F299">
        <v>247</v>
      </c>
      <c r="G299">
        <v>351</v>
      </c>
      <c r="H299">
        <v>86697</v>
      </c>
      <c r="I299">
        <v>20566</v>
      </c>
    </row>
    <row r="300" spans="1:9">
      <c r="A300" s="2">
        <v>45200</v>
      </c>
      <c r="B300">
        <v>2023</v>
      </c>
      <c r="C300" t="s">
        <v>18</v>
      </c>
      <c r="D300" t="s">
        <v>26</v>
      </c>
      <c r="E300" t="s">
        <v>30</v>
      </c>
      <c r="F300">
        <v>244</v>
      </c>
      <c r="G300">
        <v>383</v>
      </c>
      <c r="H300">
        <v>93452</v>
      </c>
      <c r="I300">
        <v>13236</v>
      </c>
    </row>
    <row r="301" spans="1:9">
      <c r="A301" s="2">
        <v>45200</v>
      </c>
      <c r="B301">
        <v>2023</v>
      </c>
      <c r="C301" t="s">
        <v>18</v>
      </c>
      <c r="D301" t="s">
        <v>26</v>
      </c>
      <c r="E301" t="s">
        <v>31</v>
      </c>
      <c r="F301">
        <v>222</v>
      </c>
      <c r="G301">
        <v>316</v>
      </c>
      <c r="H301">
        <v>70152</v>
      </c>
      <c r="I301">
        <v>13997</v>
      </c>
    </row>
    <row r="302" spans="1:9">
      <c r="A302" s="2">
        <v>45231</v>
      </c>
      <c r="B302">
        <v>2023</v>
      </c>
      <c r="C302" t="s">
        <v>19</v>
      </c>
      <c r="D302" t="s">
        <v>21</v>
      </c>
      <c r="E302" t="s">
        <v>27</v>
      </c>
      <c r="F302">
        <v>158</v>
      </c>
      <c r="G302">
        <v>1217</v>
      </c>
      <c r="H302">
        <v>192286</v>
      </c>
      <c r="I302">
        <v>35302</v>
      </c>
    </row>
    <row r="303" spans="1:9">
      <c r="A303" s="2">
        <v>45231</v>
      </c>
      <c r="B303">
        <v>2023</v>
      </c>
      <c r="C303" t="s">
        <v>19</v>
      </c>
      <c r="D303" t="s">
        <v>21</v>
      </c>
      <c r="E303" t="s">
        <v>28</v>
      </c>
      <c r="F303">
        <v>138</v>
      </c>
      <c r="G303">
        <v>1379</v>
      </c>
      <c r="H303">
        <v>190302</v>
      </c>
      <c r="I303">
        <v>33365</v>
      </c>
    </row>
    <row r="304" spans="1:9">
      <c r="A304" s="2">
        <v>45231</v>
      </c>
      <c r="B304">
        <v>2023</v>
      </c>
      <c r="C304" t="s">
        <v>19</v>
      </c>
      <c r="D304" t="s">
        <v>21</v>
      </c>
      <c r="E304" t="s">
        <v>29</v>
      </c>
      <c r="F304">
        <v>327</v>
      </c>
      <c r="G304">
        <v>1172</v>
      </c>
      <c r="H304">
        <v>383244</v>
      </c>
      <c r="I304">
        <v>61164</v>
      </c>
    </row>
    <row r="305" spans="1:9">
      <c r="A305" s="2">
        <v>45231</v>
      </c>
      <c r="B305">
        <v>2023</v>
      </c>
      <c r="C305" t="s">
        <v>19</v>
      </c>
      <c r="D305" t="s">
        <v>21</v>
      </c>
      <c r="E305" t="s">
        <v>30</v>
      </c>
      <c r="F305">
        <v>282</v>
      </c>
      <c r="G305">
        <v>1184</v>
      </c>
      <c r="H305">
        <v>333888</v>
      </c>
      <c r="I305">
        <v>56839</v>
      </c>
    </row>
    <row r="306" spans="1:9">
      <c r="A306" s="2">
        <v>45231</v>
      </c>
      <c r="B306">
        <v>2023</v>
      </c>
      <c r="C306" t="s">
        <v>19</v>
      </c>
      <c r="D306" t="s">
        <v>21</v>
      </c>
      <c r="E306" t="s">
        <v>31</v>
      </c>
      <c r="F306">
        <v>374</v>
      </c>
      <c r="G306">
        <v>1090</v>
      </c>
      <c r="H306">
        <v>407660</v>
      </c>
      <c r="I306">
        <v>69632</v>
      </c>
    </row>
    <row r="307" spans="1:9">
      <c r="A307" s="2">
        <v>45231</v>
      </c>
      <c r="B307">
        <v>2023</v>
      </c>
      <c r="C307" t="s">
        <v>19</v>
      </c>
      <c r="D307" t="s">
        <v>22</v>
      </c>
      <c r="E307" t="s">
        <v>27</v>
      </c>
      <c r="F307">
        <v>95</v>
      </c>
      <c r="G307">
        <v>733</v>
      </c>
      <c r="H307">
        <v>69635</v>
      </c>
      <c r="I307">
        <v>15064</v>
      </c>
    </row>
    <row r="308" spans="1:9">
      <c r="A308" s="2">
        <v>45231</v>
      </c>
      <c r="B308">
        <v>2023</v>
      </c>
      <c r="C308" t="s">
        <v>19</v>
      </c>
      <c r="D308" t="s">
        <v>22</v>
      </c>
      <c r="E308" t="s">
        <v>28</v>
      </c>
      <c r="F308">
        <v>247</v>
      </c>
      <c r="G308">
        <v>825</v>
      </c>
      <c r="H308">
        <v>203775</v>
      </c>
      <c r="I308">
        <v>36713</v>
      </c>
    </row>
    <row r="309" spans="1:9">
      <c r="A309" s="2">
        <v>45231</v>
      </c>
      <c r="B309">
        <v>2023</v>
      </c>
      <c r="C309" t="s">
        <v>19</v>
      </c>
      <c r="D309" t="s">
        <v>22</v>
      </c>
      <c r="E309" t="s">
        <v>29</v>
      </c>
      <c r="F309">
        <v>187</v>
      </c>
      <c r="G309">
        <v>800</v>
      </c>
      <c r="H309">
        <v>149600</v>
      </c>
      <c r="I309">
        <v>27518</v>
      </c>
    </row>
    <row r="310" spans="1:9">
      <c r="A310" s="2">
        <v>45231</v>
      </c>
      <c r="B310">
        <v>2023</v>
      </c>
      <c r="C310" t="s">
        <v>19</v>
      </c>
      <c r="D310" t="s">
        <v>22</v>
      </c>
      <c r="E310" t="s">
        <v>30</v>
      </c>
      <c r="F310">
        <v>388</v>
      </c>
      <c r="G310">
        <v>740</v>
      </c>
      <c r="H310">
        <v>287120</v>
      </c>
      <c r="I310">
        <v>43112</v>
      </c>
    </row>
    <row r="311" spans="1:9">
      <c r="A311" s="2">
        <v>45231</v>
      </c>
      <c r="B311">
        <v>2023</v>
      </c>
      <c r="C311" t="s">
        <v>19</v>
      </c>
      <c r="D311" t="s">
        <v>22</v>
      </c>
      <c r="E311" t="s">
        <v>31</v>
      </c>
      <c r="F311">
        <v>130</v>
      </c>
      <c r="G311">
        <v>909</v>
      </c>
      <c r="H311">
        <v>118170</v>
      </c>
      <c r="I311">
        <v>18434</v>
      </c>
    </row>
    <row r="312" spans="1:9">
      <c r="A312" s="2">
        <v>45231</v>
      </c>
      <c r="B312">
        <v>2023</v>
      </c>
      <c r="C312" t="s">
        <v>19</v>
      </c>
      <c r="D312" t="s">
        <v>23</v>
      </c>
      <c r="E312" t="s">
        <v>27</v>
      </c>
      <c r="F312">
        <v>234</v>
      </c>
      <c r="G312">
        <v>120</v>
      </c>
      <c r="H312">
        <v>28080</v>
      </c>
      <c r="I312">
        <v>2914</v>
      </c>
    </row>
    <row r="313" spans="1:9">
      <c r="A313" s="2">
        <v>45231</v>
      </c>
      <c r="B313">
        <v>2023</v>
      </c>
      <c r="C313" t="s">
        <v>19</v>
      </c>
      <c r="D313" t="s">
        <v>23</v>
      </c>
      <c r="E313" t="s">
        <v>28</v>
      </c>
      <c r="F313">
        <v>357</v>
      </c>
      <c r="G313">
        <v>129</v>
      </c>
      <c r="H313">
        <v>46053</v>
      </c>
      <c r="I313">
        <v>9157</v>
      </c>
    </row>
    <row r="314" spans="1:9">
      <c r="A314" s="2">
        <v>45231</v>
      </c>
      <c r="B314">
        <v>2023</v>
      </c>
      <c r="C314" t="s">
        <v>19</v>
      </c>
      <c r="D314" t="s">
        <v>23</v>
      </c>
      <c r="E314" t="s">
        <v>29</v>
      </c>
      <c r="F314">
        <v>382</v>
      </c>
      <c r="G314">
        <v>114</v>
      </c>
      <c r="H314">
        <v>43548</v>
      </c>
      <c r="I314">
        <v>5864</v>
      </c>
    </row>
    <row r="315" spans="1:9">
      <c r="A315" s="2">
        <v>45231</v>
      </c>
      <c r="B315">
        <v>2023</v>
      </c>
      <c r="C315" t="s">
        <v>19</v>
      </c>
      <c r="D315" t="s">
        <v>23</v>
      </c>
      <c r="E315" t="s">
        <v>30</v>
      </c>
      <c r="F315">
        <v>325</v>
      </c>
      <c r="G315">
        <v>108</v>
      </c>
      <c r="H315">
        <v>35100</v>
      </c>
      <c r="I315">
        <v>4058</v>
      </c>
    </row>
    <row r="316" spans="1:9">
      <c r="A316" s="2">
        <v>45231</v>
      </c>
      <c r="B316">
        <v>2023</v>
      </c>
      <c r="C316" t="s">
        <v>19</v>
      </c>
      <c r="D316" t="s">
        <v>23</v>
      </c>
      <c r="E316" t="s">
        <v>31</v>
      </c>
      <c r="F316">
        <v>310</v>
      </c>
      <c r="G316">
        <v>125</v>
      </c>
      <c r="H316">
        <v>38750</v>
      </c>
      <c r="I316">
        <v>9033</v>
      </c>
    </row>
    <row r="317" spans="1:9">
      <c r="A317" s="2">
        <v>45231</v>
      </c>
      <c r="B317">
        <v>2023</v>
      </c>
      <c r="C317" t="s">
        <v>19</v>
      </c>
      <c r="D317" t="s">
        <v>24</v>
      </c>
      <c r="E317" t="s">
        <v>27</v>
      </c>
      <c r="F317">
        <v>166</v>
      </c>
      <c r="G317">
        <v>575</v>
      </c>
      <c r="H317">
        <v>95450</v>
      </c>
      <c r="I317">
        <v>10968</v>
      </c>
    </row>
    <row r="318" spans="1:9">
      <c r="A318" s="2">
        <v>45231</v>
      </c>
      <c r="B318">
        <v>2023</v>
      </c>
      <c r="C318" t="s">
        <v>19</v>
      </c>
      <c r="D318" t="s">
        <v>24</v>
      </c>
      <c r="E318" t="s">
        <v>28</v>
      </c>
      <c r="F318">
        <v>170</v>
      </c>
      <c r="G318">
        <v>688</v>
      </c>
      <c r="H318">
        <v>116960</v>
      </c>
      <c r="I318">
        <v>22278</v>
      </c>
    </row>
    <row r="319" spans="1:9">
      <c r="A319" s="2">
        <v>45231</v>
      </c>
      <c r="B319">
        <v>2023</v>
      </c>
      <c r="C319" t="s">
        <v>19</v>
      </c>
      <c r="D319" t="s">
        <v>24</v>
      </c>
      <c r="E319" t="s">
        <v>29</v>
      </c>
      <c r="F319">
        <v>371</v>
      </c>
      <c r="G319">
        <v>664</v>
      </c>
      <c r="H319">
        <v>246344</v>
      </c>
      <c r="I319">
        <v>39310</v>
      </c>
    </row>
    <row r="320" spans="1:9">
      <c r="A320" s="2">
        <v>45231</v>
      </c>
      <c r="B320">
        <v>2023</v>
      </c>
      <c r="C320" t="s">
        <v>19</v>
      </c>
      <c r="D320" t="s">
        <v>24</v>
      </c>
      <c r="E320" t="s">
        <v>30</v>
      </c>
      <c r="F320">
        <v>237</v>
      </c>
      <c r="G320">
        <v>561</v>
      </c>
      <c r="H320">
        <v>132957</v>
      </c>
      <c r="I320">
        <v>21400</v>
      </c>
    </row>
    <row r="321" spans="1:9">
      <c r="A321" s="2">
        <v>45231</v>
      </c>
      <c r="B321">
        <v>2023</v>
      </c>
      <c r="C321" t="s">
        <v>19</v>
      </c>
      <c r="D321" t="s">
        <v>24</v>
      </c>
      <c r="E321" t="s">
        <v>31</v>
      </c>
      <c r="F321">
        <v>380</v>
      </c>
      <c r="G321">
        <v>674</v>
      </c>
      <c r="H321">
        <v>256120</v>
      </c>
      <c r="I321">
        <v>26111</v>
      </c>
    </row>
    <row r="322" spans="1:9">
      <c r="A322" s="2">
        <v>45231</v>
      </c>
      <c r="B322">
        <v>2023</v>
      </c>
      <c r="C322" t="s">
        <v>19</v>
      </c>
      <c r="D322" t="s">
        <v>25</v>
      </c>
      <c r="E322" t="s">
        <v>27</v>
      </c>
      <c r="F322">
        <v>333</v>
      </c>
      <c r="G322">
        <v>270</v>
      </c>
      <c r="H322">
        <v>89910</v>
      </c>
      <c r="I322">
        <v>20429</v>
      </c>
    </row>
    <row r="323" spans="1:9">
      <c r="A323" s="2">
        <v>45231</v>
      </c>
      <c r="B323">
        <v>2023</v>
      </c>
      <c r="C323" t="s">
        <v>19</v>
      </c>
      <c r="D323" t="s">
        <v>25</v>
      </c>
      <c r="E323" t="s">
        <v>28</v>
      </c>
      <c r="F323">
        <v>186</v>
      </c>
      <c r="G323">
        <v>236</v>
      </c>
      <c r="H323">
        <v>43896</v>
      </c>
      <c r="I323">
        <v>8228</v>
      </c>
    </row>
    <row r="324" spans="1:9">
      <c r="A324" s="2">
        <v>45231</v>
      </c>
      <c r="B324">
        <v>2023</v>
      </c>
      <c r="C324" t="s">
        <v>19</v>
      </c>
      <c r="D324" t="s">
        <v>25</v>
      </c>
      <c r="E324" t="s">
        <v>29</v>
      </c>
      <c r="F324">
        <v>260</v>
      </c>
      <c r="G324">
        <v>268</v>
      </c>
      <c r="H324">
        <v>69680</v>
      </c>
      <c r="I324">
        <v>16485</v>
      </c>
    </row>
    <row r="325" spans="1:9">
      <c r="A325" s="2">
        <v>45231</v>
      </c>
      <c r="B325">
        <v>2023</v>
      </c>
      <c r="C325" t="s">
        <v>19</v>
      </c>
      <c r="D325" t="s">
        <v>25</v>
      </c>
      <c r="E325" t="s">
        <v>30</v>
      </c>
      <c r="F325">
        <v>269</v>
      </c>
      <c r="G325">
        <v>246</v>
      </c>
      <c r="H325">
        <v>66174</v>
      </c>
      <c r="I325">
        <v>9192</v>
      </c>
    </row>
    <row r="326" spans="1:9">
      <c r="A326" s="2">
        <v>45231</v>
      </c>
      <c r="B326">
        <v>2023</v>
      </c>
      <c r="C326" t="s">
        <v>19</v>
      </c>
      <c r="D326" t="s">
        <v>25</v>
      </c>
      <c r="E326" t="s">
        <v>31</v>
      </c>
      <c r="F326">
        <v>267</v>
      </c>
      <c r="G326">
        <v>261</v>
      </c>
      <c r="H326">
        <v>69687</v>
      </c>
      <c r="I326">
        <v>9770</v>
      </c>
    </row>
    <row r="327" spans="1:9">
      <c r="A327" s="2">
        <v>45231</v>
      </c>
      <c r="B327">
        <v>2023</v>
      </c>
      <c r="C327" t="s">
        <v>19</v>
      </c>
      <c r="D327" t="s">
        <v>26</v>
      </c>
      <c r="E327" t="s">
        <v>27</v>
      </c>
      <c r="F327">
        <v>331</v>
      </c>
      <c r="G327">
        <v>345</v>
      </c>
      <c r="H327">
        <v>114195</v>
      </c>
      <c r="I327">
        <v>24674</v>
      </c>
    </row>
    <row r="328" spans="1:9">
      <c r="A328" s="2">
        <v>45231</v>
      </c>
      <c r="B328">
        <v>2023</v>
      </c>
      <c r="C328" t="s">
        <v>19</v>
      </c>
      <c r="D328" t="s">
        <v>26</v>
      </c>
      <c r="E328" t="s">
        <v>28</v>
      </c>
      <c r="F328">
        <v>297</v>
      </c>
      <c r="G328">
        <v>390</v>
      </c>
      <c r="H328">
        <v>115830</v>
      </c>
      <c r="I328">
        <v>15396</v>
      </c>
    </row>
    <row r="329" spans="1:9">
      <c r="A329" s="2">
        <v>45231</v>
      </c>
      <c r="B329">
        <v>2023</v>
      </c>
      <c r="C329" t="s">
        <v>19</v>
      </c>
      <c r="D329" t="s">
        <v>26</v>
      </c>
      <c r="E329" t="s">
        <v>29</v>
      </c>
      <c r="F329">
        <v>350</v>
      </c>
      <c r="G329">
        <v>324</v>
      </c>
      <c r="H329">
        <v>113400</v>
      </c>
      <c r="I329">
        <v>20963</v>
      </c>
    </row>
    <row r="330" spans="1:9">
      <c r="A330" s="2">
        <v>45231</v>
      </c>
      <c r="B330">
        <v>2023</v>
      </c>
      <c r="C330" t="s">
        <v>19</v>
      </c>
      <c r="D330" t="s">
        <v>26</v>
      </c>
      <c r="E330" t="s">
        <v>30</v>
      </c>
      <c r="F330">
        <v>134</v>
      </c>
      <c r="G330">
        <v>393</v>
      </c>
      <c r="H330">
        <v>52662</v>
      </c>
      <c r="I330">
        <v>11584</v>
      </c>
    </row>
    <row r="331" spans="1:9">
      <c r="A331" s="2">
        <v>45231</v>
      </c>
      <c r="B331">
        <v>2023</v>
      </c>
      <c r="C331" t="s">
        <v>19</v>
      </c>
      <c r="D331" t="s">
        <v>26</v>
      </c>
      <c r="E331" t="s">
        <v>31</v>
      </c>
      <c r="F331">
        <v>280</v>
      </c>
      <c r="G331">
        <v>357</v>
      </c>
      <c r="H331">
        <v>99960</v>
      </c>
      <c r="I331">
        <v>17679</v>
      </c>
    </row>
    <row r="332" spans="1:9">
      <c r="A332" s="2">
        <v>45261</v>
      </c>
      <c r="B332">
        <v>2023</v>
      </c>
      <c r="C332" t="s">
        <v>20</v>
      </c>
      <c r="D332" t="s">
        <v>21</v>
      </c>
      <c r="E332" t="s">
        <v>27</v>
      </c>
      <c r="F332">
        <v>88</v>
      </c>
      <c r="G332">
        <v>1242</v>
      </c>
      <c r="H332">
        <v>109296</v>
      </c>
      <c r="I332">
        <v>21315</v>
      </c>
    </row>
    <row r="333" spans="1:9">
      <c r="A333" s="2">
        <v>45261</v>
      </c>
      <c r="B333">
        <v>2023</v>
      </c>
      <c r="C333" t="s">
        <v>20</v>
      </c>
      <c r="D333" t="s">
        <v>21</v>
      </c>
      <c r="E333" t="s">
        <v>28</v>
      </c>
      <c r="F333">
        <v>280</v>
      </c>
      <c r="G333">
        <v>1121</v>
      </c>
      <c r="H333">
        <v>313880</v>
      </c>
      <c r="I333">
        <v>70698</v>
      </c>
    </row>
    <row r="334" spans="1:9">
      <c r="A334" s="2">
        <v>45261</v>
      </c>
      <c r="B334">
        <v>2023</v>
      </c>
      <c r="C334" t="s">
        <v>20</v>
      </c>
      <c r="D334" t="s">
        <v>21</v>
      </c>
      <c r="E334" t="s">
        <v>29</v>
      </c>
      <c r="F334">
        <v>83</v>
      </c>
      <c r="G334">
        <v>1119</v>
      </c>
      <c r="H334">
        <v>92877</v>
      </c>
      <c r="I334">
        <v>21834</v>
      </c>
    </row>
    <row r="335" spans="1:9">
      <c r="A335" s="2">
        <v>45261</v>
      </c>
      <c r="B335">
        <v>2023</v>
      </c>
      <c r="C335" t="s">
        <v>20</v>
      </c>
      <c r="D335" t="s">
        <v>21</v>
      </c>
      <c r="E335" t="s">
        <v>30</v>
      </c>
      <c r="F335">
        <v>177</v>
      </c>
      <c r="G335">
        <v>1161</v>
      </c>
      <c r="H335">
        <v>205497</v>
      </c>
      <c r="I335">
        <v>21116</v>
      </c>
    </row>
    <row r="336" spans="1:9">
      <c r="A336" s="2">
        <v>45261</v>
      </c>
      <c r="B336">
        <v>2023</v>
      </c>
      <c r="C336" t="s">
        <v>20</v>
      </c>
      <c r="D336" t="s">
        <v>21</v>
      </c>
      <c r="E336" t="s">
        <v>31</v>
      </c>
      <c r="F336">
        <v>225</v>
      </c>
      <c r="G336">
        <v>1238</v>
      </c>
      <c r="H336">
        <v>278550</v>
      </c>
      <c r="I336">
        <v>61910</v>
      </c>
    </row>
    <row r="337" spans="1:9">
      <c r="A337" s="2">
        <v>45261</v>
      </c>
      <c r="B337">
        <v>2023</v>
      </c>
      <c r="C337" t="s">
        <v>20</v>
      </c>
      <c r="D337" t="s">
        <v>22</v>
      </c>
      <c r="E337" t="s">
        <v>27</v>
      </c>
      <c r="F337">
        <v>120</v>
      </c>
      <c r="G337">
        <v>774</v>
      </c>
      <c r="H337">
        <v>92880</v>
      </c>
      <c r="I337">
        <v>17008</v>
      </c>
    </row>
    <row r="338" spans="1:9">
      <c r="A338" s="2">
        <v>45261</v>
      </c>
      <c r="B338">
        <v>2023</v>
      </c>
      <c r="C338" t="s">
        <v>20</v>
      </c>
      <c r="D338" t="s">
        <v>22</v>
      </c>
      <c r="E338" t="s">
        <v>28</v>
      </c>
      <c r="F338">
        <v>232</v>
      </c>
      <c r="G338">
        <v>819</v>
      </c>
      <c r="H338">
        <v>190008</v>
      </c>
      <c r="I338">
        <v>39527</v>
      </c>
    </row>
    <row r="339" spans="1:9">
      <c r="A339" s="2">
        <v>45261</v>
      </c>
      <c r="B339">
        <v>2023</v>
      </c>
      <c r="C339" t="s">
        <v>20</v>
      </c>
      <c r="D339" t="s">
        <v>22</v>
      </c>
      <c r="E339" t="s">
        <v>29</v>
      </c>
      <c r="F339">
        <v>196</v>
      </c>
      <c r="G339">
        <v>722</v>
      </c>
      <c r="H339">
        <v>141512</v>
      </c>
      <c r="I339">
        <v>17056</v>
      </c>
    </row>
    <row r="340" spans="1:9">
      <c r="A340" s="2">
        <v>45261</v>
      </c>
      <c r="B340">
        <v>2023</v>
      </c>
      <c r="C340" t="s">
        <v>20</v>
      </c>
      <c r="D340" t="s">
        <v>22</v>
      </c>
      <c r="E340" t="s">
        <v>30</v>
      </c>
      <c r="F340">
        <v>392</v>
      </c>
      <c r="G340">
        <v>773</v>
      </c>
      <c r="H340">
        <v>303016</v>
      </c>
      <c r="I340">
        <v>63581</v>
      </c>
    </row>
    <row r="341" spans="1:9">
      <c r="A341" s="2">
        <v>45261</v>
      </c>
      <c r="B341">
        <v>2023</v>
      </c>
      <c r="C341" t="s">
        <v>20</v>
      </c>
      <c r="D341" t="s">
        <v>22</v>
      </c>
      <c r="E341" t="s">
        <v>31</v>
      </c>
      <c r="F341">
        <v>177</v>
      </c>
      <c r="G341">
        <v>840</v>
      </c>
      <c r="H341">
        <v>148680</v>
      </c>
      <c r="I341">
        <v>29699</v>
      </c>
    </row>
    <row r="342" spans="1:9">
      <c r="A342" s="2">
        <v>45261</v>
      </c>
      <c r="B342">
        <v>2023</v>
      </c>
      <c r="C342" t="s">
        <v>20</v>
      </c>
      <c r="D342" t="s">
        <v>23</v>
      </c>
      <c r="E342" t="s">
        <v>27</v>
      </c>
      <c r="F342">
        <v>252</v>
      </c>
      <c r="G342">
        <v>133</v>
      </c>
      <c r="H342">
        <v>33516</v>
      </c>
      <c r="I342">
        <v>5384</v>
      </c>
    </row>
    <row r="343" spans="1:9">
      <c r="A343" s="2">
        <v>45261</v>
      </c>
      <c r="B343">
        <v>2023</v>
      </c>
      <c r="C343" t="s">
        <v>20</v>
      </c>
      <c r="D343" t="s">
        <v>23</v>
      </c>
      <c r="E343" t="s">
        <v>28</v>
      </c>
      <c r="F343">
        <v>269</v>
      </c>
      <c r="G343">
        <v>123</v>
      </c>
      <c r="H343">
        <v>33087</v>
      </c>
      <c r="I343">
        <v>3541</v>
      </c>
    </row>
    <row r="344" spans="1:9">
      <c r="A344" s="2">
        <v>45261</v>
      </c>
      <c r="B344">
        <v>2023</v>
      </c>
      <c r="C344" t="s">
        <v>20</v>
      </c>
      <c r="D344" t="s">
        <v>23</v>
      </c>
      <c r="E344" t="s">
        <v>29</v>
      </c>
      <c r="F344">
        <v>389</v>
      </c>
      <c r="G344">
        <v>130</v>
      </c>
      <c r="H344">
        <v>50570</v>
      </c>
      <c r="I344">
        <v>5685</v>
      </c>
    </row>
    <row r="345" spans="1:9">
      <c r="A345" s="2">
        <v>45261</v>
      </c>
      <c r="B345">
        <v>2023</v>
      </c>
      <c r="C345" t="s">
        <v>20</v>
      </c>
      <c r="D345" t="s">
        <v>23</v>
      </c>
      <c r="E345" t="s">
        <v>30</v>
      </c>
      <c r="F345">
        <v>371</v>
      </c>
      <c r="G345">
        <v>131</v>
      </c>
      <c r="H345">
        <v>48601</v>
      </c>
      <c r="I345">
        <v>5357</v>
      </c>
    </row>
    <row r="346" spans="1:9">
      <c r="A346" s="2">
        <v>45261</v>
      </c>
      <c r="B346">
        <v>2023</v>
      </c>
      <c r="C346" t="s">
        <v>20</v>
      </c>
      <c r="D346" t="s">
        <v>23</v>
      </c>
      <c r="E346" t="s">
        <v>31</v>
      </c>
      <c r="F346">
        <v>346</v>
      </c>
      <c r="G346">
        <v>116</v>
      </c>
      <c r="H346">
        <v>40136</v>
      </c>
      <c r="I346">
        <v>6154</v>
      </c>
    </row>
    <row r="347" spans="1:9">
      <c r="A347" s="2">
        <v>45261</v>
      </c>
      <c r="B347">
        <v>2023</v>
      </c>
      <c r="C347" t="s">
        <v>20</v>
      </c>
      <c r="D347" t="s">
        <v>24</v>
      </c>
      <c r="E347" t="s">
        <v>27</v>
      </c>
      <c r="F347">
        <v>192</v>
      </c>
      <c r="G347">
        <v>648</v>
      </c>
      <c r="H347">
        <v>124416</v>
      </c>
      <c r="I347">
        <v>23833</v>
      </c>
    </row>
    <row r="348" spans="1:9">
      <c r="A348" s="2">
        <v>45261</v>
      </c>
      <c r="B348">
        <v>2023</v>
      </c>
      <c r="C348" t="s">
        <v>20</v>
      </c>
      <c r="D348" t="s">
        <v>24</v>
      </c>
      <c r="E348" t="s">
        <v>28</v>
      </c>
      <c r="F348">
        <v>389</v>
      </c>
      <c r="G348">
        <v>611</v>
      </c>
      <c r="H348">
        <v>237679</v>
      </c>
      <c r="I348">
        <v>47429</v>
      </c>
    </row>
    <row r="349" spans="1:9">
      <c r="A349" s="2">
        <v>45261</v>
      </c>
      <c r="B349">
        <v>2023</v>
      </c>
      <c r="C349" t="s">
        <v>20</v>
      </c>
      <c r="D349" t="s">
        <v>24</v>
      </c>
      <c r="E349" t="s">
        <v>29</v>
      </c>
      <c r="F349">
        <v>325</v>
      </c>
      <c r="G349">
        <v>560</v>
      </c>
      <c r="H349">
        <v>182000</v>
      </c>
      <c r="I349">
        <v>31406</v>
      </c>
    </row>
    <row r="350" spans="1:9">
      <c r="A350" s="2">
        <v>45261</v>
      </c>
      <c r="B350">
        <v>2023</v>
      </c>
      <c r="C350" t="s">
        <v>20</v>
      </c>
      <c r="D350" t="s">
        <v>24</v>
      </c>
      <c r="E350" t="s">
        <v>30</v>
      </c>
      <c r="F350">
        <v>329</v>
      </c>
      <c r="G350">
        <v>544</v>
      </c>
      <c r="H350">
        <v>178976</v>
      </c>
      <c r="I350">
        <v>24938</v>
      </c>
    </row>
    <row r="351" spans="1:9">
      <c r="A351" s="2">
        <v>45261</v>
      </c>
      <c r="B351">
        <v>2023</v>
      </c>
      <c r="C351" t="s">
        <v>20</v>
      </c>
      <c r="D351" t="s">
        <v>24</v>
      </c>
      <c r="E351" t="s">
        <v>31</v>
      </c>
      <c r="F351">
        <v>306</v>
      </c>
      <c r="G351">
        <v>666</v>
      </c>
      <c r="H351">
        <v>203796</v>
      </c>
      <c r="I351">
        <v>46253</v>
      </c>
    </row>
    <row r="352" spans="1:9">
      <c r="A352" s="2">
        <v>45261</v>
      </c>
      <c r="B352">
        <v>2023</v>
      </c>
      <c r="C352" t="s">
        <v>20</v>
      </c>
      <c r="D352" t="s">
        <v>25</v>
      </c>
      <c r="E352" t="s">
        <v>27</v>
      </c>
      <c r="F352">
        <v>280</v>
      </c>
      <c r="G352">
        <v>273</v>
      </c>
      <c r="H352">
        <v>76440</v>
      </c>
      <c r="I352">
        <v>8866</v>
      </c>
    </row>
    <row r="353" spans="1:9">
      <c r="A353" s="2">
        <v>45261</v>
      </c>
      <c r="B353">
        <v>2023</v>
      </c>
      <c r="C353" t="s">
        <v>20</v>
      </c>
      <c r="D353" t="s">
        <v>25</v>
      </c>
      <c r="E353" t="s">
        <v>28</v>
      </c>
      <c r="F353">
        <v>280</v>
      </c>
      <c r="G353">
        <v>246</v>
      </c>
      <c r="H353">
        <v>68880</v>
      </c>
      <c r="I353">
        <v>11152</v>
      </c>
    </row>
    <row r="354" spans="1:9">
      <c r="A354" s="2">
        <v>45261</v>
      </c>
      <c r="B354">
        <v>2023</v>
      </c>
      <c r="C354" t="s">
        <v>20</v>
      </c>
      <c r="D354" t="s">
        <v>25</v>
      </c>
      <c r="E354" t="s">
        <v>29</v>
      </c>
      <c r="F354">
        <v>140</v>
      </c>
      <c r="G354">
        <v>268</v>
      </c>
      <c r="H354">
        <v>37520</v>
      </c>
      <c r="I354">
        <v>6199</v>
      </c>
    </row>
    <row r="355" spans="1:9">
      <c r="A355" s="2">
        <v>45261</v>
      </c>
      <c r="B355">
        <v>2023</v>
      </c>
      <c r="C355" t="s">
        <v>20</v>
      </c>
      <c r="D355" t="s">
        <v>25</v>
      </c>
      <c r="E355" t="s">
        <v>30</v>
      </c>
      <c r="F355">
        <v>118</v>
      </c>
      <c r="G355">
        <v>229</v>
      </c>
      <c r="H355">
        <v>27022</v>
      </c>
      <c r="I355">
        <v>3017</v>
      </c>
    </row>
    <row r="356" spans="1:9">
      <c r="A356" s="2">
        <v>45261</v>
      </c>
      <c r="B356">
        <v>2023</v>
      </c>
      <c r="C356" t="s">
        <v>20</v>
      </c>
      <c r="D356" t="s">
        <v>25</v>
      </c>
      <c r="E356" t="s">
        <v>31</v>
      </c>
      <c r="F356">
        <v>187</v>
      </c>
      <c r="G356">
        <v>268</v>
      </c>
      <c r="H356">
        <v>50116</v>
      </c>
      <c r="I356">
        <v>7057</v>
      </c>
    </row>
    <row r="357" spans="1:9">
      <c r="A357" s="2">
        <v>45261</v>
      </c>
      <c r="B357">
        <v>2023</v>
      </c>
      <c r="C357" t="s">
        <v>20</v>
      </c>
      <c r="D357" t="s">
        <v>26</v>
      </c>
      <c r="E357" t="s">
        <v>27</v>
      </c>
      <c r="F357">
        <v>91</v>
      </c>
      <c r="G357">
        <v>346</v>
      </c>
      <c r="H357">
        <v>31486</v>
      </c>
      <c r="I357">
        <v>3581</v>
      </c>
    </row>
    <row r="358" spans="1:9">
      <c r="A358" s="2">
        <v>45261</v>
      </c>
      <c r="B358">
        <v>2023</v>
      </c>
      <c r="C358" t="s">
        <v>20</v>
      </c>
      <c r="D358" t="s">
        <v>26</v>
      </c>
      <c r="E358" t="s">
        <v>28</v>
      </c>
      <c r="F358">
        <v>384</v>
      </c>
      <c r="G358">
        <v>326</v>
      </c>
      <c r="H358">
        <v>125184</v>
      </c>
      <c r="I358">
        <v>30361</v>
      </c>
    </row>
    <row r="359" spans="1:9">
      <c r="A359" s="2">
        <v>45261</v>
      </c>
      <c r="B359">
        <v>2023</v>
      </c>
      <c r="C359" t="s">
        <v>20</v>
      </c>
      <c r="D359" t="s">
        <v>26</v>
      </c>
      <c r="E359" t="s">
        <v>29</v>
      </c>
      <c r="F359">
        <v>390</v>
      </c>
      <c r="G359">
        <v>360</v>
      </c>
      <c r="H359">
        <v>140400</v>
      </c>
      <c r="I359">
        <v>15866</v>
      </c>
    </row>
    <row r="360" spans="1:9">
      <c r="A360" s="2">
        <v>45261</v>
      </c>
      <c r="B360">
        <v>2023</v>
      </c>
      <c r="C360" t="s">
        <v>20</v>
      </c>
      <c r="D360" t="s">
        <v>26</v>
      </c>
      <c r="E360" t="s">
        <v>30</v>
      </c>
      <c r="F360">
        <v>159</v>
      </c>
      <c r="G360">
        <v>391</v>
      </c>
      <c r="H360">
        <v>62169</v>
      </c>
      <c r="I360">
        <v>13045</v>
      </c>
    </row>
    <row r="361" spans="1:9">
      <c r="A361" s="2">
        <v>45261</v>
      </c>
      <c r="B361">
        <v>2023</v>
      </c>
      <c r="C361" t="s">
        <v>20</v>
      </c>
      <c r="D361" t="s">
        <v>26</v>
      </c>
      <c r="E361" t="s">
        <v>31</v>
      </c>
      <c r="F361">
        <v>228</v>
      </c>
      <c r="G361">
        <v>381</v>
      </c>
      <c r="H361">
        <v>86868</v>
      </c>
      <c r="I361">
        <v>18122</v>
      </c>
    </row>
    <row r="362" spans="1:9">
      <c r="A362" s="2">
        <v>45292</v>
      </c>
      <c r="B362">
        <v>2024</v>
      </c>
      <c r="C362" t="s">
        <v>9</v>
      </c>
      <c r="D362" t="s">
        <v>21</v>
      </c>
      <c r="E362" t="s">
        <v>27</v>
      </c>
      <c r="F362">
        <v>323</v>
      </c>
      <c r="G362">
        <v>1154</v>
      </c>
      <c r="H362">
        <v>372742</v>
      </c>
      <c r="I362">
        <v>64638</v>
      </c>
    </row>
    <row r="363" spans="1:9">
      <c r="A363" s="2">
        <v>45292</v>
      </c>
      <c r="B363">
        <v>2024</v>
      </c>
      <c r="C363" t="s">
        <v>9</v>
      </c>
      <c r="D363" t="s">
        <v>21</v>
      </c>
      <c r="E363" t="s">
        <v>28</v>
      </c>
      <c r="F363">
        <v>257</v>
      </c>
      <c r="G363">
        <v>1287</v>
      </c>
      <c r="H363">
        <v>330759</v>
      </c>
      <c r="I363">
        <v>35635</v>
      </c>
    </row>
    <row r="364" spans="1:9">
      <c r="A364" s="2">
        <v>45292</v>
      </c>
      <c r="B364">
        <v>2024</v>
      </c>
      <c r="C364" t="s">
        <v>9</v>
      </c>
      <c r="D364" t="s">
        <v>21</v>
      </c>
      <c r="E364" t="s">
        <v>29</v>
      </c>
      <c r="F364">
        <v>121</v>
      </c>
      <c r="G364">
        <v>1091</v>
      </c>
      <c r="H364">
        <v>132011</v>
      </c>
      <c r="I364">
        <v>27172</v>
      </c>
    </row>
    <row r="365" spans="1:9">
      <c r="A365" s="2">
        <v>45292</v>
      </c>
      <c r="B365">
        <v>2024</v>
      </c>
      <c r="C365" t="s">
        <v>9</v>
      </c>
      <c r="D365" t="s">
        <v>21</v>
      </c>
      <c r="E365" t="s">
        <v>30</v>
      </c>
      <c r="F365">
        <v>322</v>
      </c>
      <c r="G365">
        <v>1379</v>
      </c>
      <c r="H365">
        <v>444038</v>
      </c>
      <c r="I365">
        <v>81423</v>
      </c>
    </row>
    <row r="366" spans="1:9">
      <c r="A366" s="2">
        <v>45292</v>
      </c>
      <c r="B366">
        <v>2024</v>
      </c>
      <c r="C366" t="s">
        <v>9</v>
      </c>
      <c r="D366" t="s">
        <v>21</v>
      </c>
      <c r="E366" t="s">
        <v>31</v>
      </c>
      <c r="F366">
        <v>191</v>
      </c>
      <c r="G366">
        <v>1354</v>
      </c>
      <c r="H366">
        <v>258614</v>
      </c>
      <c r="I366">
        <v>27178</v>
      </c>
    </row>
    <row r="367" spans="1:9">
      <c r="A367" s="2">
        <v>45292</v>
      </c>
      <c r="B367">
        <v>2024</v>
      </c>
      <c r="C367" t="s">
        <v>9</v>
      </c>
      <c r="D367" t="s">
        <v>22</v>
      </c>
      <c r="E367" t="s">
        <v>27</v>
      </c>
      <c r="F367">
        <v>227</v>
      </c>
      <c r="G367">
        <v>866</v>
      </c>
      <c r="H367">
        <v>196582</v>
      </c>
      <c r="I367">
        <v>25337</v>
      </c>
    </row>
    <row r="368" spans="1:9">
      <c r="A368" s="2">
        <v>45292</v>
      </c>
      <c r="B368">
        <v>2024</v>
      </c>
      <c r="C368" t="s">
        <v>9</v>
      </c>
      <c r="D368" t="s">
        <v>22</v>
      </c>
      <c r="E368" t="s">
        <v>28</v>
      </c>
      <c r="F368">
        <v>457</v>
      </c>
      <c r="G368">
        <v>908</v>
      </c>
      <c r="H368">
        <v>414956</v>
      </c>
      <c r="I368">
        <v>71012</v>
      </c>
    </row>
    <row r="369" spans="1:9">
      <c r="A369" s="2">
        <v>45292</v>
      </c>
      <c r="B369">
        <v>2024</v>
      </c>
      <c r="C369" t="s">
        <v>9</v>
      </c>
      <c r="D369" t="s">
        <v>22</v>
      </c>
      <c r="E369" t="s">
        <v>29</v>
      </c>
      <c r="F369">
        <v>211</v>
      </c>
      <c r="G369">
        <v>727</v>
      </c>
      <c r="H369">
        <v>153397</v>
      </c>
      <c r="I369">
        <v>29059</v>
      </c>
    </row>
    <row r="370" spans="1:9">
      <c r="A370" s="2">
        <v>45292</v>
      </c>
      <c r="B370">
        <v>2024</v>
      </c>
      <c r="C370" t="s">
        <v>9</v>
      </c>
      <c r="D370" t="s">
        <v>22</v>
      </c>
      <c r="E370" t="s">
        <v>30</v>
      </c>
      <c r="F370">
        <v>216</v>
      </c>
      <c r="G370">
        <v>744</v>
      </c>
      <c r="H370">
        <v>160704</v>
      </c>
      <c r="I370">
        <v>17925</v>
      </c>
    </row>
    <row r="371" spans="1:9">
      <c r="A371" s="2">
        <v>45292</v>
      </c>
      <c r="B371">
        <v>2024</v>
      </c>
      <c r="C371" t="s">
        <v>9</v>
      </c>
      <c r="D371" t="s">
        <v>22</v>
      </c>
      <c r="E371" t="s">
        <v>31</v>
      </c>
      <c r="F371">
        <v>431</v>
      </c>
      <c r="G371">
        <v>826</v>
      </c>
      <c r="H371">
        <v>356006</v>
      </c>
      <c r="I371">
        <v>59152</v>
      </c>
    </row>
    <row r="372" spans="1:9">
      <c r="A372" s="2">
        <v>45292</v>
      </c>
      <c r="B372">
        <v>2024</v>
      </c>
      <c r="C372" t="s">
        <v>9</v>
      </c>
      <c r="D372" t="s">
        <v>23</v>
      </c>
      <c r="E372" t="s">
        <v>27</v>
      </c>
      <c r="F372">
        <v>136</v>
      </c>
      <c r="G372">
        <v>117</v>
      </c>
      <c r="H372">
        <v>15912</v>
      </c>
      <c r="I372">
        <v>2878</v>
      </c>
    </row>
    <row r="373" spans="1:9">
      <c r="A373" s="2">
        <v>45292</v>
      </c>
      <c r="B373">
        <v>2024</v>
      </c>
      <c r="C373" t="s">
        <v>9</v>
      </c>
      <c r="D373" t="s">
        <v>23</v>
      </c>
      <c r="E373" t="s">
        <v>28</v>
      </c>
      <c r="F373">
        <v>335</v>
      </c>
      <c r="G373">
        <v>123</v>
      </c>
      <c r="H373">
        <v>41205</v>
      </c>
      <c r="I373">
        <v>6758</v>
      </c>
    </row>
    <row r="374" spans="1:9">
      <c r="A374" s="2">
        <v>45292</v>
      </c>
      <c r="B374">
        <v>2024</v>
      </c>
      <c r="C374" t="s">
        <v>9</v>
      </c>
      <c r="D374" t="s">
        <v>23</v>
      </c>
      <c r="E374" t="s">
        <v>29</v>
      </c>
      <c r="F374">
        <v>216</v>
      </c>
      <c r="G374">
        <v>114</v>
      </c>
      <c r="H374">
        <v>24624</v>
      </c>
      <c r="I374">
        <v>2552</v>
      </c>
    </row>
    <row r="375" spans="1:9">
      <c r="A375" s="2">
        <v>45292</v>
      </c>
      <c r="B375">
        <v>2024</v>
      </c>
      <c r="C375" t="s">
        <v>9</v>
      </c>
      <c r="D375" t="s">
        <v>23</v>
      </c>
      <c r="E375" t="s">
        <v>30</v>
      </c>
      <c r="F375">
        <v>288</v>
      </c>
      <c r="G375">
        <v>137</v>
      </c>
      <c r="H375">
        <v>39456</v>
      </c>
      <c r="I375">
        <v>3947</v>
      </c>
    </row>
    <row r="376" spans="1:9">
      <c r="A376" s="2">
        <v>45292</v>
      </c>
      <c r="B376">
        <v>2024</v>
      </c>
      <c r="C376" t="s">
        <v>9</v>
      </c>
      <c r="D376" t="s">
        <v>23</v>
      </c>
      <c r="E376" t="s">
        <v>31</v>
      </c>
      <c r="F376">
        <v>403</v>
      </c>
      <c r="G376">
        <v>123</v>
      </c>
      <c r="H376">
        <v>49569</v>
      </c>
      <c r="I376">
        <v>11939</v>
      </c>
    </row>
    <row r="377" spans="1:9">
      <c r="A377" s="2">
        <v>45292</v>
      </c>
      <c r="B377">
        <v>2024</v>
      </c>
      <c r="C377" t="s">
        <v>9</v>
      </c>
      <c r="D377" t="s">
        <v>24</v>
      </c>
      <c r="E377" t="s">
        <v>27</v>
      </c>
      <c r="F377">
        <v>355</v>
      </c>
      <c r="G377">
        <v>550</v>
      </c>
      <c r="H377">
        <v>195250</v>
      </c>
      <c r="I377">
        <v>19802</v>
      </c>
    </row>
    <row r="378" spans="1:9">
      <c r="A378" s="2">
        <v>45292</v>
      </c>
      <c r="B378">
        <v>2024</v>
      </c>
      <c r="C378" t="s">
        <v>9</v>
      </c>
      <c r="D378" t="s">
        <v>24</v>
      </c>
      <c r="E378" t="s">
        <v>28</v>
      </c>
      <c r="F378">
        <v>125</v>
      </c>
      <c r="G378">
        <v>655</v>
      </c>
      <c r="H378">
        <v>81875</v>
      </c>
      <c r="I378">
        <v>13123</v>
      </c>
    </row>
    <row r="379" spans="1:9">
      <c r="A379" s="2">
        <v>45292</v>
      </c>
      <c r="B379">
        <v>2024</v>
      </c>
      <c r="C379" t="s">
        <v>9</v>
      </c>
      <c r="D379" t="s">
        <v>24</v>
      </c>
      <c r="E379" t="s">
        <v>29</v>
      </c>
      <c r="F379">
        <v>375</v>
      </c>
      <c r="G379">
        <v>611</v>
      </c>
      <c r="H379">
        <v>229125</v>
      </c>
      <c r="I379">
        <v>42872</v>
      </c>
    </row>
    <row r="380" spans="1:9">
      <c r="A380" s="2">
        <v>45292</v>
      </c>
      <c r="B380">
        <v>2024</v>
      </c>
      <c r="C380" t="s">
        <v>9</v>
      </c>
      <c r="D380" t="s">
        <v>24</v>
      </c>
      <c r="E380" t="s">
        <v>30</v>
      </c>
      <c r="F380">
        <v>365</v>
      </c>
      <c r="G380">
        <v>687</v>
      </c>
      <c r="H380">
        <v>250755</v>
      </c>
      <c r="I380">
        <v>53972</v>
      </c>
    </row>
    <row r="381" spans="1:9">
      <c r="A381" s="2">
        <v>45292</v>
      </c>
      <c r="B381">
        <v>2024</v>
      </c>
      <c r="C381" t="s">
        <v>9</v>
      </c>
      <c r="D381" t="s">
        <v>24</v>
      </c>
      <c r="E381" t="s">
        <v>31</v>
      </c>
      <c r="F381">
        <v>167</v>
      </c>
      <c r="G381">
        <v>575</v>
      </c>
      <c r="H381">
        <v>96025</v>
      </c>
      <c r="I381">
        <v>11193</v>
      </c>
    </row>
    <row r="382" spans="1:9">
      <c r="A382" s="2">
        <v>45292</v>
      </c>
      <c r="B382">
        <v>2024</v>
      </c>
      <c r="C382" t="s">
        <v>9</v>
      </c>
      <c r="D382" t="s">
        <v>25</v>
      </c>
      <c r="E382" t="s">
        <v>27</v>
      </c>
      <c r="F382">
        <v>256</v>
      </c>
      <c r="G382">
        <v>243</v>
      </c>
      <c r="H382">
        <v>62208</v>
      </c>
      <c r="I382">
        <v>14178</v>
      </c>
    </row>
    <row r="383" spans="1:9">
      <c r="A383" s="2">
        <v>45292</v>
      </c>
      <c r="B383">
        <v>2024</v>
      </c>
      <c r="C383" t="s">
        <v>9</v>
      </c>
      <c r="D383" t="s">
        <v>25</v>
      </c>
      <c r="E383" t="s">
        <v>28</v>
      </c>
      <c r="F383">
        <v>261</v>
      </c>
      <c r="G383">
        <v>239</v>
      </c>
      <c r="H383">
        <v>62379</v>
      </c>
      <c r="I383">
        <v>6631</v>
      </c>
    </row>
    <row r="384" spans="1:9">
      <c r="A384" s="2">
        <v>45292</v>
      </c>
      <c r="B384">
        <v>2024</v>
      </c>
      <c r="C384" t="s">
        <v>9</v>
      </c>
      <c r="D384" t="s">
        <v>25</v>
      </c>
      <c r="E384" t="s">
        <v>29</v>
      </c>
      <c r="F384">
        <v>315</v>
      </c>
      <c r="G384">
        <v>281</v>
      </c>
      <c r="H384">
        <v>88515</v>
      </c>
      <c r="I384">
        <v>9450</v>
      </c>
    </row>
    <row r="385" spans="1:9">
      <c r="A385" s="2">
        <v>45292</v>
      </c>
      <c r="B385">
        <v>2024</v>
      </c>
      <c r="C385" t="s">
        <v>9</v>
      </c>
      <c r="D385" t="s">
        <v>25</v>
      </c>
      <c r="E385" t="s">
        <v>30</v>
      </c>
      <c r="F385">
        <v>445</v>
      </c>
      <c r="G385">
        <v>249</v>
      </c>
      <c r="H385">
        <v>110805</v>
      </c>
      <c r="I385">
        <v>13148</v>
      </c>
    </row>
    <row r="386" spans="1:9">
      <c r="A386" s="2">
        <v>45292</v>
      </c>
      <c r="B386">
        <v>2024</v>
      </c>
      <c r="C386" t="s">
        <v>9</v>
      </c>
      <c r="D386" t="s">
        <v>25</v>
      </c>
      <c r="E386" t="s">
        <v>31</v>
      </c>
      <c r="F386">
        <v>308</v>
      </c>
      <c r="G386">
        <v>284</v>
      </c>
      <c r="H386">
        <v>87472</v>
      </c>
      <c r="I386">
        <v>19064</v>
      </c>
    </row>
    <row r="387" spans="1:9">
      <c r="A387" s="2">
        <v>45292</v>
      </c>
      <c r="B387">
        <v>2024</v>
      </c>
      <c r="C387" t="s">
        <v>9</v>
      </c>
      <c r="D387" t="s">
        <v>26</v>
      </c>
      <c r="E387" t="s">
        <v>27</v>
      </c>
      <c r="F387">
        <v>321</v>
      </c>
      <c r="G387">
        <v>400</v>
      </c>
      <c r="H387">
        <v>128400</v>
      </c>
      <c r="I387">
        <v>29869</v>
      </c>
    </row>
    <row r="388" spans="1:9">
      <c r="A388" s="2">
        <v>45292</v>
      </c>
      <c r="B388">
        <v>2024</v>
      </c>
      <c r="C388" t="s">
        <v>9</v>
      </c>
      <c r="D388" t="s">
        <v>26</v>
      </c>
      <c r="E388" t="s">
        <v>28</v>
      </c>
      <c r="F388">
        <v>104</v>
      </c>
      <c r="G388">
        <v>394</v>
      </c>
      <c r="H388">
        <v>40976</v>
      </c>
      <c r="I388">
        <v>10177</v>
      </c>
    </row>
    <row r="389" spans="1:9">
      <c r="A389" s="2">
        <v>45292</v>
      </c>
      <c r="B389">
        <v>2024</v>
      </c>
      <c r="C389" t="s">
        <v>9</v>
      </c>
      <c r="D389" t="s">
        <v>26</v>
      </c>
      <c r="E389" t="s">
        <v>29</v>
      </c>
      <c r="F389">
        <v>322</v>
      </c>
      <c r="G389">
        <v>401</v>
      </c>
      <c r="H389">
        <v>129122</v>
      </c>
      <c r="I389">
        <v>17399</v>
      </c>
    </row>
    <row r="390" spans="1:9">
      <c r="A390" s="2">
        <v>45292</v>
      </c>
      <c r="B390">
        <v>2024</v>
      </c>
      <c r="C390" t="s">
        <v>9</v>
      </c>
      <c r="D390" t="s">
        <v>26</v>
      </c>
      <c r="E390" t="s">
        <v>30</v>
      </c>
      <c r="F390">
        <v>263</v>
      </c>
      <c r="G390">
        <v>388</v>
      </c>
      <c r="H390">
        <v>102044</v>
      </c>
      <c r="I390">
        <v>13733</v>
      </c>
    </row>
    <row r="391" spans="1:9">
      <c r="A391" s="2">
        <v>45292</v>
      </c>
      <c r="B391">
        <v>2024</v>
      </c>
      <c r="C391" t="s">
        <v>9</v>
      </c>
      <c r="D391" t="s">
        <v>26</v>
      </c>
      <c r="E391" t="s">
        <v>31</v>
      </c>
      <c r="F391">
        <v>373</v>
      </c>
      <c r="G391">
        <v>359</v>
      </c>
      <c r="H391">
        <v>133907</v>
      </c>
      <c r="I391">
        <v>18023</v>
      </c>
    </row>
    <row r="392" spans="1:9">
      <c r="A392" s="2">
        <v>45323</v>
      </c>
      <c r="B392">
        <v>2024</v>
      </c>
      <c r="C392" t="s">
        <v>10</v>
      </c>
      <c r="D392" t="s">
        <v>21</v>
      </c>
      <c r="E392" t="s">
        <v>27</v>
      </c>
      <c r="F392">
        <v>360</v>
      </c>
      <c r="G392">
        <v>1195</v>
      </c>
      <c r="H392">
        <v>430200</v>
      </c>
      <c r="I392">
        <v>45390</v>
      </c>
    </row>
    <row r="393" spans="1:9">
      <c r="A393" s="2">
        <v>45323</v>
      </c>
      <c r="B393">
        <v>2024</v>
      </c>
      <c r="C393" t="s">
        <v>10</v>
      </c>
      <c r="D393" t="s">
        <v>21</v>
      </c>
      <c r="E393" t="s">
        <v>28</v>
      </c>
      <c r="F393">
        <v>399</v>
      </c>
      <c r="G393">
        <v>1327</v>
      </c>
      <c r="H393">
        <v>529473</v>
      </c>
      <c r="I393">
        <v>116545</v>
      </c>
    </row>
    <row r="394" spans="1:9">
      <c r="A394" s="2">
        <v>45323</v>
      </c>
      <c r="B394">
        <v>2024</v>
      </c>
      <c r="C394" t="s">
        <v>10</v>
      </c>
      <c r="D394" t="s">
        <v>21</v>
      </c>
      <c r="E394" t="s">
        <v>29</v>
      </c>
      <c r="F394">
        <v>157</v>
      </c>
      <c r="G394">
        <v>1370</v>
      </c>
      <c r="H394">
        <v>215090</v>
      </c>
      <c r="I394">
        <v>50023</v>
      </c>
    </row>
    <row r="395" spans="1:9">
      <c r="A395" s="2">
        <v>45323</v>
      </c>
      <c r="B395">
        <v>2024</v>
      </c>
      <c r="C395" t="s">
        <v>10</v>
      </c>
      <c r="D395" t="s">
        <v>21</v>
      </c>
      <c r="E395" t="s">
        <v>30</v>
      </c>
      <c r="F395">
        <v>210</v>
      </c>
      <c r="G395">
        <v>1259</v>
      </c>
      <c r="H395">
        <v>264390</v>
      </c>
      <c r="I395">
        <v>47260</v>
      </c>
    </row>
    <row r="396" spans="1:9">
      <c r="A396" s="2">
        <v>45323</v>
      </c>
      <c r="B396">
        <v>2024</v>
      </c>
      <c r="C396" t="s">
        <v>10</v>
      </c>
      <c r="D396" t="s">
        <v>21</v>
      </c>
      <c r="E396" t="s">
        <v>31</v>
      </c>
      <c r="F396">
        <v>303</v>
      </c>
      <c r="G396">
        <v>1227</v>
      </c>
      <c r="H396">
        <v>371781</v>
      </c>
      <c r="I396">
        <v>92740</v>
      </c>
    </row>
    <row r="397" spans="1:9">
      <c r="A397" s="2">
        <v>45323</v>
      </c>
      <c r="B397">
        <v>2024</v>
      </c>
      <c r="C397" t="s">
        <v>10</v>
      </c>
      <c r="D397" t="s">
        <v>22</v>
      </c>
      <c r="E397" t="s">
        <v>27</v>
      </c>
      <c r="F397">
        <v>96</v>
      </c>
      <c r="G397">
        <v>883</v>
      </c>
      <c r="H397">
        <v>84768</v>
      </c>
      <c r="I397">
        <v>11330</v>
      </c>
    </row>
    <row r="398" spans="1:9">
      <c r="A398" s="2">
        <v>45323</v>
      </c>
      <c r="B398">
        <v>2024</v>
      </c>
      <c r="C398" t="s">
        <v>10</v>
      </c>
      <c r="D398" t="s">
        <v>22</v>
      </c>
      <c r="E398" t="s">
        <v>28</v>
      </c>
      <c r="F398">
        <v>234</v>
      </c>
      <c r="G398">
        <v>869</v>
      </c>
      <c r="H398">
        <v>203346</v>
      </c>
      <c r="I398">
        <v>21398</v>
      </c>
    </row>
    <row r="399" spans="1:9">
      <c r="A399" s="2">
        <v>45323</v>
      </c>
      <c r="B399">
        <v>2024</v>
      </c>
      <c r="C399" t="s">
        <v>10</v>
      </c>
      <c r="D399" t="s">
        <v>22</v>
      </c>
      <c r="E399" t="s">
        <v>29</v>
      </c>
      <c r="F399">
        <v>173</v>
      </c>
      <c r="G399">
        <v>836</v>
      </c>
      <c r="H399">
        <v>144628</v>
      </c>
      <c r="I399">
        <v>16447</v>
      </c>
    </row>
    <row r="400" spans="1:9">
      <c r="A400" s="2">
        <v>45323</v>
      </c>
      <c r="B400">
        <v>2024</v>
      </c>
      <c r="C400" t="s">
        <v>10</v>
      </c>
      <c r="D400" t="s">
        <v>22</v>
      </c>
      <c r="E400" t="s">
        <v>30</v>
      </c>
      <c r="F400">
        <v>217</v>
      </c>
      <c r="G400">
        <v>798</v>
      </c>
      <c r="H400">
        <v>173166</v>
      </c>
      <c r="I400">
        <v>24406</v>
      </c>
    </row>
    <row r="401" spans="1:9">
      <c r="A401" s="2">
        <v>45323</v>
      </c>
      <c r="B401">
        <v>2024</v>
      </c>
      <c r="C401" t="s">
        <v>10</v>
      </c>
      <c r="D401" t="s">
        <v>22</v>
      </c>
      <c r="E401" t="s">
        <v>31</v>
      </c>
      <c r="F401">
        <v>127</v>
      </c>
      <c r="G401">
        <v>897</v>
      </c>
      <c r="H401">
        <v>113919</v>
      </c>
      <c r="I401">
        <v>27721</v>
      </c>
    </row>
    <row r="402" spans="1:9">
      <c r="A402" s="2">
        <v>45323</v>
      </c>
      <c r="B402">
        <v>2024</v>
      </c>
      <c r="C402" t="s">
        <v>10</v>
      </c>
      <c r="D402" t="s">
        <v>23</v>
      </c>
      <c r="E402" t="s">
        <v>27</v>
      </c>
      <c r="F402">
        <v>294</v>
      </c>
      <c r="G402">
        <v>132</v>
      </c>
      <c r="H402">
        <v>38808</v>
      </c>
      <c r="I402">
        <v>7695</v>
      </c>
    </row>
    <row r="403" spans="1:9">
      <c r="A403" s="2">
        <v>45323</v>
      </c>
      <c r="B403">
        <v>2024</v>
      </c>
      <c r="C403" t="s">
        <v>10</v>
      </c>
      <c r="D403" t="s">
        <v>23</v>
      </c>
      <c r="E403" t="s">
        <v>28</v>
      </c>
      <c r="F403">
        <v>401</v>
      </c>
      <c r="G403">
        <v>130</v>
      </c>
      <c r="H403">
        <v>52130</v>
      </c>
      <c r="I403">
        <v>7413</v>
      </c>
    </row>
    <row r="404" spans="1:9">
      <c r="A404" s="2">
        <v>45323</v>
      </c>
      <c r="B404">
        <v>2024</v>
      </c>
      <c r="C404" t="s">
        <v>10</v>
      </c>
      <c r="D404" t="s">
        <v>23</v>
      </c>
      <c r="E404" t="s">
        <v>29</v>
      </c>
      <c r="F404">
        <v>239</v>
      </c>
      <c r="G404">
        <v>119</v>
      </c>
      <c r="H404">
        <v>28441</v>
      </c>
      <c r="I404">
        <v>3952</v>
      </c>
    </row>
    <row r="405" spans="1:9">
      <c r="A405" s="2">
        <v>45323</v>
      </c>
      <c r="B405">
        <v>2024</v>
      </c>
      <c r="C405" t="s">
        <v>10</v>
      </c>
      <c r="D405" t="s">
        <v>23</v>
      </c>
      <c r="E405" t="s">
        <v>30</v>
      </c>
      <c r="F405">
        <v>301</v>
      </c>
      <c r="G405">
        <v>122</v>
      </c>
      <c r="H405">
        <v>36722</v>
      </c>
      <c r="I405">
        <v>4118</v>
      </c>
    </row>
    <row r="406" spans="1:9">
      <c r="A406" s="2">
        <v>45323</v>
      </c>
      <c r="B406">
        <v>2024</v>
      </c>
      <c r="C406" t="s">
        <v>10</v>
      </c>
      <c r="D406" t="s">
        <v>23</v>
      </c>
      <c r="E406" t="s">
        <v>31</v>
      </c>
      <c r="F406">
        <v>466</v>
      </c>
      <c r="G406">
        <v>111</v>
      </c>
      <c r="H406">
        <v>51726</v>
      </c>
      <c r="I406">
        <v>12112</v>
      </c>
    </row>
    <row r="407" spans="1:9">
      <c r="A407" s="2">
        <v>45323</v>
      </c>
      <c r="B407">
        <v>2024</v>
      </c>
      <c r="C407" t="s">
        <v>10</v>
      </c>
      <c r="D407" t="s">
        <v>24</v>
      </c>
      <c r="E407" t="s">
        <v>27</v>
      </c>
      <c r="F407">
        <v>188</v>
      </c>
      <c r="G407">
        <v>549</v>
      </c>
      <c r="H407">
        <v>103212</v>
      </c>
      <c r="I407">
        <v>23990</v>
      </c>
    </row>
    <row r="408" spans="1:9">
      <c r="A408" s="2">
        <v>45323</v>
      </c>
      <c r="B408">
        <v>2024</v>
      </c>
      <c r="C408" t="s">
        <v>10</v>
      </c>
      <c r="D408" t="s">
        <v>24</v>
      </c>
      <c r="E408" t="s">
        <v>28</v>
      </c>
      <c r="F408">
        <v>468</v>
      </c>
      <c r="G408">
        <v>628</v>
      </c>
      <c r="H408">
        <v>293904</v>
      </c>
      <c r="I408">
        <v>65746</v>
      </c>
    </row>
    <row r="409" spans="1:9">
      <c r="A409" s="2">
        <v>45323</v>
      </c>
      <c r="B409">
        <v>2024</v>
      </c>
      <c r="C409" t="s">
        <v>10</v>
      </c>
      <c r="D409" t="s">
        <v>24</v>
      </c>
      <c r="E409" t="s">
        <v>29</v>
      </c>
      <c r="F409">
        <v>159</v>
      </c>
      <c r="G409">
        <v>639</v>
      </c>
      <c r="H409">
        <v>101601</v>
      </c>
      <c r="I409">
        <v>18447</v>
      </c>
    </row>
    <row r="410" spans="1:9">
      <c r="A410" s="2">
        <v>45323</v>
      </c>
      <c r="B410">
        <v>2024</v>
      </c>
      <c r="C410" t="s">
        <v>10</v>
      </c>
      <c r="D410" t="s">
        <v>24</v>
      </c>
      <c r="E410" t="s">
        <v>30</v>
      </c>
      <c r="F410">
        <v>373</v>
      </c>
      <c r="G410">
        <v>650</v>
      </c>
      <c r="H410">
        <v>242450</v>
      </c>
      <c r="I410">
        <v>43201</v>
      </c>
    </row>
    <row r="411" spans="1:9">
      <c r="A411" s="2">
        <v>45323</v>
      </c>
      <c r="B411">
        <v>2024</v>
      </c>
      <c r="C411" t="s">
        <v>10</v>
      </c>
      <c r="D411" t="s">
        <v>24</v>
      </c>
      <c r="E411" t="s">
        <v>31</v>
      </c>
      <c r="F411">
        <v>291</v>
      </c>
      <c r="G411">
        <v>576</v>
      </c>
      <c r="H411">
        <v>167616</v>
      </c>
      <c r="I411">
        <v>20717</v>
      </c>
    </row>
    <row r="412" spans="1:9">
      <c r="A412" s="2">
        <v>45323</v>
      </c>
      <c r="B412">
        <v>2024</v>
      </c>
      <c r="C412" t="s">
        <v>10</v>
      </c>
      <c r="D412" t="s">
        <v>25</v>
      </c>
      <c r="E412" t="s">
        <v>27</v>
      </c>
      <c r="F412">
        <v>452</v>
      </c>
      <c r="G412">
        <v>269</v>
      </c>
      <c r="H412">
        <v>121588</v>
      </c>
      <c r="I412">
        <v>27424</v>
      </c>
    </row>
    <row r="413" spans="1:9">
      <c r="A413" s="2">
        <v>45323</v>
      </c>
      <c r="B413">
        <v>2024</v>
      </c>
      <c r="C413" t="s">
        <v>10</v>
      </c>
      <c r="D413" t="s">
        <v>25</v>
      </c>
      <c r="E413" t="s">
        <v>28</v>
      </c>
      <c r="F413">
        <v>307</v>
      </c>
      <c r="G413">
        <v>267</v>
      </c>
      <c r="H413">
        <v>81969</v>
      </c>
      <c r="I413">
        <v>15802</v>
      </c>
    </row>
    <row r="414" spans="1:9">
      <c r="A414" s="2">
        <v>45323</v>
      </c>
      <c r="B414">
        <v>2024</v>
      </c>
      <c r="C414" t="s">
        <v>10</v>
      </c>
      <c r="D414" t="s">
        <v>25</v>
      </c>
      <c r="E414" t="s">
        <v>29</v>
      </c>
      <c r="F414">
        <v>315</v>
      </c>
      <c r="G414">
        <v>234</v>
      </c>
      <c r="H414">
        <v>73710</v>
      </c>
      <c r="I414">
        <v>17110</v>
      </c>
    </row>
    <row r="415" spans="1:9">
      <c r="A415" s="2">
        <v>45323</v>
      </c>
      <c r="B415">
        <v>2024</v>
      </c>
      <c r="C415" t="s">
        <v>10</v>
      </c>
      <c r="D415" t="s">
        <v>25</v>
      </c>
      <c r="E415" t="s">
        <v>30</v>
      </c>
      <c r="F415">
        <v>464</v>
      </c>
      <c r="G415">
        <v>254</v>
      </c>
      <c r="H415">
        <v>117856</v>
      </c>
      <c r="I415">
        <v>27326</v>
      </c>
    </row>
    <row r="416" spans="1:9">
      <c r="A416" s="2">
        <v>45323</v>
      </c>
      <c r="B416">
        <v>2024</v>
      </c>
      <c r="C416" t="s">
        <v>10</v>
      </c>
      <c r="D416" t="s">
        <v>25</v>
      </c>
      <c r="E416" t="s">
        <v>31</v>
      </c>
      <c r="F416">
        <v>282</v>
      </c>
      <c r="G416">
        <v>245</v>
      </c>
      <c r="H416">
        <v>69090</v>
      </c>
      <c r="I416">
        <v>14614</v>
      </c>
    </row>
    <row r="417" spans="1:9">
      <c r="A417" s="2">
        <v>45323</v>
      </c>
      <c r="B417">
        <v>2024</v>
      </c>
      <c r="C417" t="s">
        <v>10</v>
      </c>
      <c r="D417" t="s">
        <v>26</v>
      </c>
      <c r="E417" t="s">
        <v>27</v>
      </c>
      <c r="F417">
        <v>190</v>
      </c>
      <c r="G417">
        <v>386</v>
      </c>
      <c r="H417">
        <v>73340</v>
      </c>
      <c r="I417">
        <v>16488</v>
      </c>
    </row>
    <row r="418" spans="1:9">
      <c r="A418" s="2">
        <v>45323</v>
      </c>
      <c r="B418">
        <v>2024</v>
      </c>
      <c r="C418" t="s">
        <v>10</v>
      </c>
      <c r="D418" t="s">
        <v>26</v>
      </c>
      <c r="E418" t="s">
        <v>28</v>
      </c>
      <c r="F418">
        <v>107</v>
      </c>
      <c r="G418">
        <v>315</v>
      </c>
      <c r="H418">
        <v>33705</v>
      </c>
      <c r="I418">
        <v>4821</v>
      </c>
    </row>
    <row r="419" spans="1:9">
      <c r="A419" s="2">
        <v>45323</v>
      </c>
      <c r="B419">
        <v>2024</v>
      </c>
      <c r="C419" t="s">
        <v>10</v>
      </c>
      <c r="D419" t="s">
        <v>26</v>
      </c>
      <c r="E419" t="s">
        <v>29</v>
      </c>
      <c r="F419">
        <v>147</v>
      </c>
      <c r="G419">
        <v>343</v>
      </c>
      <c r="H419">
        <v>50421</v>
      </c>
      <c r="I419">
        <v>9276</v>
      </c>
    </row>
    <row r="420" spans="1:9">
      <c r="A420" s="2">
        <v>45323</v>
      </c>
      <c r="B420">
        <v>2024</v>
      </c>
      <c r="C420" t="s">
        <v>10</v>
      </c>
      <c r="D420" t="s">
        <v>26</v>
      </c>
      <c r="E420" t="s">
        <v>30</v>
      </c>
      <c r="F420">
        <v>356</v>
      </c>
      <c r="G420">
        <v>347</v>
      </c>
      <c r="H420">
        <v>123532</v>
      </c>
      <c r="I420">
        <v>12521</v>
      </c>
    </row>
    <row r="421" spans="1:9">
      <c r="A421" s="2">
        <v>45323</v>
      </c>
      <c r="B421">
        <v>2024</v>
      </c>
      <c r="C421" t="s">
        <v>10</v>
      </c>
      <c r="D421" t="s">
        <v>26</v>
      </c>
      <c r="E421" t="s">
        <v>31</v>
      </c>
      <c r="F421">
        <v>285</v>
      </c>
      <c r="G421">
        <v>326</v>
      </c>
      <c r="H421">
        <v>92910</v>
      </c>
      <c r="I421">
        <v>13239</v>
      </c>
    </row>
    <row r="422" spans="1:9">
      <c r="A422" s="2">
        <v>45352</v>
      </c>
      <c r="B422">
        <v>2024</v>
      </c>
      <c r="C422" t="s">
        <v>11</v>
      </c>
      <c r="D422" t="s">
        <v>21</v>
      </c>
      <c r="E422" t="s">
        <v>27</v>
      </c>
      <c r="F422">
        <v>181</v>
      </c>
      <c r="G422">
        <v>1209</v>
      </c>
      <c r="H422">
        <v>218829</v>
      </c>
      <c r="I422">
        <v>49459</v>
      </c>
    </row>
    <row r="423" spans="1:9">
      <c r="A423" s="2">
        <v>45352</v>
      </c>
      <c r="B423">
        <v>2024</v>
      </c>
      <c r="C423" t="s">
        <v>11</v>
      </c>
      <c r="D423" t="s">
        <v>21</v>
      </c>
      <c r="E423" t="s">
        <v>28</v>
      </c>
      <c r="F423">
        <v>165</v>
      </c>
      <c r="G423">
        <v>1133</v>
      </c>
      <c r="H423">
        <v>186945</v>
      </c>
      <c r="I423">
        <v>39829</v>
      </c>
    </row>
    <row r="424" spans="1:9">
      <c r="A424" s="2">
        <v>45352</v>
      </c>
      <c r="B424">
        <v>2024</v>
      </c>
      <c r="C424" t="s">
        <v>11</v>
      </c>
      <c r="D424" t="s">
        <v>21</v>
      </c>
      <c r="E424" t="s">
        <v>29</v>
      </c>
      <c r="F424">
        <v>424</v>
      </c>
      <c r="G424">
        <v>1361</v>
      </c>
      <c r="H424">
        <v>577064</v>
      </c>
      <c r="I424">
        <v>117249</v>
      </c>
    </row>
    <row r="425" spans="1:9">
      <c r="A425" s="2">
        <v>45352</v>
      </c>
      <c r="B425">
        <v>2024</v>
      </c>
      <c r="C425" t="s">
        <v>11</v>
      </c>
      <c r="D425" t="s">
        <v>21</v>
      </c>
      <c r="E425" t="s">
        <v>30</v>
      </c>
      <c r="F425">
        <v>381</v>
      </c>
      <c r="G425">
        <v>1364</v>
      </c>
      <c r="H425">
        <v>519684</v>
      </c>
      <c r="I425">
        <v>64937</v>
      </c>
    </row>
    <row r="426" spans="1:9">
      <c r="A426" s="2">
        <v>45352</v>
      </c>
      <c r="B426">
        <v>2024</v>
      </c>
      <c r="C426" t="s">
        <v>11</v>
      </c>
      <c r="D426" t="s">
        <v>21</v>
      </c>
      <c r="E426" t="s">
        <v>31</v>
      </c>
      <c r="F426">
        <v>108</v>
      </c>
      <c r="G426">
        <v>1100</v>
      </c>
      <c r="H426">
        <v>118800</v>
      </c>
      <c r="I426">
        <v>22254</v>
      </c>
    </row>
    <row r="427" spans="1:9">
      <c r="A427" s="2">
        <v>45352</v>
      </c>
      <c r="B427">
        <v>2024</v>
      </c>
      <c r="C427" t="s">
        <v>11</v>
      </c>
      <c r="D427" t="s">
        <v>22</v>
      </c>
      <c r="E427" t="s">
        <v>27</v>
      </c>
      <c r="F427">
        <v>323</v>
      </c>
      <c r="G427">
        <v>731</v>
      </c>
      <c r="H427">
        <v>236113</v>
      </c>
      <c r="I427">
        <v>26256</v>
      </c>
    </row>
    <row r="428" spans="1:9">
      <c r="A428" s="2">
        <v>45352</v>
      </c>
      <c r="B428">
        <v>2024</v>
      </c>
      <c r="C428" t="s">
        <v>11</v>
      </c>
      <c r="D428" t="s">
        <v>22</v>
      </c>
      <c r="E428" t="s">
        <v>28</v>
      </c>
      <c r="F428">
        <v>343</v>
      </c>
      <c r="G428">
        <v>894</v>
      </c>
      <c r="H428">
        <v>306642</v>
      </c>
      <c r="I428">
        <v>75441</v>
      </c>
    </row>
    <row r="429" spans="1:9">
      <c r="A429" s="2">
        <v>45352</v>
      </c>
      <c r="B429">
        <v>2024</v>
      </c>
      <c r="C429" t="s">
        <v>11</v>
      </c>
      <c r="D429" t="s">
        <v>22</v>
      </c>
      <c r="E429" t="s">
        <v>29</v>
      </c>
      <c r="F429">
        <v>432</v>
      </c>
      <c r="G429">
        <v>809</v>
      </c>
      <c r="H429">
        <v>349488</v>
      </c>
      <c r="I429">
        <v>68896</v>
      </c>
    </row>
    <row r="430" spans="1:9">
      <c r="A430" s="2">
        <v>45352</v>
      </c>
      <c r="B430">
        <v>2024</v>
      </c>
      <c r="C430" t="s">
        <v>11</v>
      </c>
      <c r="D430" t="s">
        <v>22</v>
      </c>
      <c r="E430" t="s">
        <v>30</v>
      </c>
      <c r="F430">
        <v>102</v>
      </c>
      <c r="G430">
        <v>733</v>
      </c>
      <c r="H430">
        <v>74766</v>
      </c>
      <c r="I430">
        <v>16689</v>
      </c>
    </row>
    <row r="431" spans="1:9">
      <c r="A431" s="2">
        <v>45352</v>
      </c>
      <c r="B431">
        <v>2024</v>
      </c>
      <c r="C431" t="s">
        <v>11</v>
      </c>
      <c r="D431" t="s">
        <v>22</v>
      </c>
      <c r="E431" t="s">
        <v>31</v>
      </c>
      <c r="F431">
        <v>187</v>
      </c>
      <c r="G431">
        <v>883</v>
      </c>
      <c r="H431">
        <v>165121</v>
      </c>
      <c r="I431">
        <v>22766</v>
      </c>
    </row>
    <row r="432" spans="1:9">
      <c r="A432" s="2">
        <v>45352</v>
      </c>
      <c r="B432">
        <v>2024</v>
      </c>
      <c r="C432" t="s">
        <v>11</v>
      </c>
      <c r="D432" t="s">
        <v>23</v>
      </c>
      <c r="E432" t="s">
        <v>27</v>
      </c>
      <c r="F432">
        <v>124</v>
      </c>
      <c r="G432">
        <v>112</v>
      </c>
      <c r="H432">
        <v>13888</v>
      </c>
      <c r="I432">
        <v>2364</v>
      </c>
    </row>
    <row r="433" spans="1:9">
      <c r="A433" s="2">
        <v>45352</v>
      </c>
      <c r="B433">
        <v>2024</v>
      </c>
      <c r="C433" t="s">
        <v>11</v>
      </c>
      <c r="D433" t="s">
        <v>23</v>
      </c>
      <c r="E433" t="s">
        <v>28</v>
      </c>
      <c r="F433">
        <v>98</v>
      </c>
      <c r="G433">
        <v>120</v>
      </c>
      <c r="H433">
        <v>11760</v>
      </c>
      <c r="I433">
        <v>1972</v>
      </c>
    </row>
    <row r="434" spans="1:9">
      <c r="A434" s="2">
        <v>45352</v>
      </c>
      <c r="B434">
        <v>2024</v>
      </c>
      <c r="C434" t="s">
        <v>11</v>
      </c>
      <c r="D434" t="s">
        <v>23</v>
      </c>
      <c r="E434" t="s">
        <v>29</v>
      </c>
      <c r="F434">
        <v>140</v>
      </c>
      <c r="G434">
        <v>123</v>
      </c>
      <c r="H434">
        <v>17220</v>
      </c>
      <c r="I434">
        <v>3855</v>
      </c>
    </row>
    <row r="435" spans="1:9">
      <c r="A435" s="2">
        <v>45352</v>
      </c>
      <c r="B435">
        <v>2024</v>
      </c>
      <c r="C435" t="s">
        <v>11</v>
      </c>
      <c r="D435" t="s">
        <v>23</v>
      </c>
      <c r="E435" t="s">
        <v>30</v>
      </c>
      <c r="F435">
        <v>183</v>
      </c>
      <c r="G435">
        <v>114</v>
      </c>
      <c r="H435">
        <v>20862</v>
      </c>
      <c r="I435">
        <v>2343</v>
      </c>
    </row>
    <row r="436" spans="1:9">
      <c r="A436" s="2">
        <v>45352</v>
      </c>
      <c r="B436">
        <v>2024</v>
      </c>
      <c r="C436" t="s">
        <v>11</v>
      </c>
      <c r="D436" t="s">
        <v>23</v>
      </c>
      <c r="E436" t="s">
        <v>31</v>
      </c>
      <c r="F436">
        <v>193</v>
      </c>
      <c r="G436">
        <v>127</v>
      </c>
      <c r="H436">
        <v>24511</v>
      </c>
      <c r="I436">
        <v>3455</v>
      </c>
    </row>
    <row r="437" spans="1:9">
      <c r="A437" s="2">
        <v>45352</v>
      </c>
      <c r="B437">
        <v>2024</v>
      </c>
      <c r="C437" t="s">
        <v>11</v>
      </c>
      <c r="D437" t="s">
        <v>24</v>
      </c>
      <c r="E437" t="s">
        <v>27</v>
      </c>
      <c r="F437">
        <v>374</v>
      </c>
      <c r="G437">
        <v>544</v>
      </c>
      <c r="H437">
        <v>203456</v>
      </c>
      <c r="I437">
        <v>42662</v>
      </c>
    </row>
    <row r="438" spans="1:9">
      <c r="A438" s="2">
        <v>45352</v>
      </c>
      <c r="B438">
        <v>2024</v>
      </c>
      <c r="C438" t="s">
        <v>11</v>
      </c>
      <c r="D438" t="s">
        <v>24</v>
      </c>
      <c r="E438" t="s">
        <v>28</v>
      </c>
      <c r="F438">
        <v>453</v>
      </c>
      <c r="G438">
        <v>602</v>
      </c>
      <c r="H438">
        <v>272706</v>
      </c>
      <c r="I438">
        <v>53390</v>
      </c>
    </row>
    <row r="439" spans="1:9">
      <c r="A439" s="2">
        <v>45352</v>
      </c>
      <c r="B439">
        <v>2024</v>
      </c>
      <c r="C439" t="s">
        <v>11</v>
      </c>
      <c r="D439" t="s">
        <v>24</v>
      </c>
      <c r="E439" t="s">
        <v>29</v>
      </c>
      <c r="F439">
        <v>405</v>
      </c>
      <c r="G439">
        <v>654</v>
      </c>
      <c r="H439">
        <v>264870</v>
      </c>
      <c r="I439">
        <v>44059</v>
      </c>
    </row>
    <row r="440" spans="1:9">
      <c r="A440" s="2">
        <v>45352</v>
      </c>
      <c r="B440">
        <v>2024</v>
      </c>
      <c r="C440" t="s">
        <v>11</v>
      </c>
      <c r="D440" t="s">
        <v>24</v>
      </c>
      <c r="E440" t="s">
        <v>30</v>
      </c>
      <c r="F440">
        <v>399</v>
      </c>
      <c r="G440">
        <v>588</v>
      </c>
      <c r="H440">
        <v>234612</v>
      </c>
      <c r="I440">
        <v>48954</v>
      </c>
    </row>
    <row r="441" spans="1:9">
      <c r="A441" s="2">
        <v>45352</v>
      </c>
      <c r="B441">
        <v>2024</v>
      </c>
      <c r="C441" t="s">
        <v>11</v>
      </c>
      <c r="D441" t="s">
        <v>24</v>
      </c>
      <c r="E441" t="s">
        <v>31</v>
      </c>
      <c r="F441">
        <v>286</v>
      </c>
      <c r="G441">
        <v>571</v>
      </c>
      <c r="H441">
        <v>163306</v>
      </c>
      <c r="I441">
        <v>17093</v>
      </c>
    </row>
    <row r="442" spans="1:9">
      <c r="A442" s="2">
        <v>45352</v>
      </c>
      <c r="B442">
        <v>2024</v>
      </c>
      <c r="C442" t="s">
        <v>11</v>
      </c>
      <c r="D442" t="s">
        <v>25</v>
      </c>
      <c r="E442" t="s">
        <v>27</v>
      </c>
      <c r="F442">
        <v>427</v>
      </c>
      <c r="G442">
        <v>269</v>
      </c>
      <c r="H442">
        <v>114863</v>
      </c>
      <c r="I442">
        <v>21182</v>
      </c>
    </row>
    <row r="443" spans="1:9">
      <c r="A443" s="2">
        <v>45352</v>
      </c>
      <c r="B443">
        <v>2024</v>
      </c>
      <c r="C443" t="s">
        <v>11</v>
      </c>
      <c r="D443" t="s">
        <v>25</v>
      </c>
      <c r="E443" t="s">
        <v>28</v>
      </c>
      <c r="F443">
        <v>341</v>
      </c>
      <c r="G443">
        <v>258</v>
      </c>
      <c r="H443">
        <v>87978</v>
      </c>
      <c r="I443">
        <v>10899</v>
      </c>
    </row>
    <row r="444" spans="1:9">
      <c r="A444" s="2">
        <v>45352</v>
      </c>
      <c r="B444">
        <v>2024</v>
      </c>
      <c r="C444" t="s">
        <v>11</v>
      </c>
      <c r="D444" t="s">
        <v>25</v>
      </c>
      <c r="E444" t="s">
        <v>29</v>
      </c>
      <c r="F444">
        <v>266</v>
      </c>
      <c r="G444">
        <v>230</v>
      </c>
      <c r="H444">
        <v>61180</v>
      </c>
      <c r="I444">
        <v>7528</v>
      </c>
    </row>
    <row r="445" spans="1:9">
      <c r="A445" s="2">
        <v>45352</v>
      </c>
      <c r="B445">
        <v>2024</v>
      </c>
      <c r="C445" t="s">
        <v>11</v>
      </c>
      <c r="D445" t="s">
        <v>25</v>
      </c>
      <c r="E445" t="s">
        <v>30</v>
      </c>
      <c r="F445">
        <v>125</v>
      </c>
      <c r="G445">
        <v>277</v>
      </c>
      <c r="H445">
        <v>34625</v>
      </c>
      <c r="I445">
        <v>7415</v>
      </c>
    </row>
    <row r="446" spans="1:9">
      <c r="A446" s="2">
        <v>45352</v>
      </c>
      <c r="B446">
        <v>2024</v>
      </c>
      <c r="C446" t="s">
        <v>11</v>
      </c>
      <c r="D446" t="s">
        <v>25</v>
      </c>
      <c r="E446" t="s">
        <v>31</v>
      </c>
      <c r="F446">
        <v>308</v>
      </c>
      <c r="G446">
        <v>281</v>
      </c>
      <c r="H446">
        <v>86548</v>
      </c>
      <c r="I446">
        <v>21215</v>
      </c>
    </row>
    <row r="447" spans="1:9">
      <c r="A447" s="2">
        <v>45352</v>
      </c>
      <c r="B447">
        <v>2024</v>
      </c>
      <c r="C447" t="s">
        <v>11</v>
      </c>
      <c r="D447" t="s">
        <v>26</v>
      </c>
      <c r="E447" t="s">
        <v>27</v>
      </c>
      <c r="F447">
        <v>148</v>
      </c>
      <c r="G447">
        <v>355</v>
      </c>
      <c r="H447">
        <v>52540</v>
      </c>
      <c r="I447">
        <v>5263</v>
      </c>
    </row>
    <row r="448" spans="1:9">
      <c r="A448" s="2">
        <v>45352</v>
      </c>
      <c r="B448">
        <v>2024</v>
      </c>
      <c r="C448" t="s">
        <v>11</v>
      </c>
      <c r="D448" t="s">
        <v>26</v>
      </c>
      <c r="E448" t="s">
        <v>28</v>
      </c>
      <c r="F448">
        <v>418</v>
      </c>
      <c r="G448">
        <v>368</v>
      </c>
      <c r="H448">
        <v>153824</v>
      </c>
      <c r="I448">
        <v>21094</v>
      </c>
    </row>
    <row r="449" spans="1:9">
      <c r="A449" s="2">
        <v>45352</v>
      </c>
      <c r="B449">
        <v>2024</v>
      </c>
      <c r="C449" t="s">
        <v>11</v>
      </c>
      <c r="D449" t="s">
        <v>26</v>
      </c>
      <c r="E449" t="s">
        <v>29</v>
      </c>
      <c r="F449">
        <v>104</v>
      </c>
      <c r="G449">
        <v>332</v>
      </c>
      <c r="H449">
        <v>34528</v>
      </c>
      <c r="I449">
        <v>5998</v>
      </c>
    </row>
    <row r="450" spans="1:9">
      <c r="A450" s="2">
        <v>45352</v>
      </c>
      <c r="B450">
        <v>2024</v>
      </c>
      <c r="C450" t="s">
        <v>11</v>
      </c>
      <c r="D450" t="s">
        <v>26</v>
      </c>
      <c r="E450" t="s">
        <v>30</v>
      </c>
      <c r="F450">
        <v>473</v>
      </c>
      <c r="G450">
        <v>372</v>
      </c>
      <c r="H450">
        <v>175956</v>
      </c>
      <c r="I450">
        <v>26197</v>
      </c>
    </row>
    <row r="451" spans="1:9">
      <c r="A451" s="2">
        <v>45352</v>
      </c>
      <c r="B451">
        <v>2024</v>
      </c>
      <c r="C451" t="s">
        <v>11</v>
      </c>
      <c r="D451" t="s">
        <v>26</v>
      </c>
      <c r="E451" t="s">
        <v>31</v>
      </c>
      <c r="F451">
        <v>179</v>
      </c>
      <c r="G451">
        <v>342</v>
      </c>
      <c r="H451">
        <v>61218</v>
      </c>
      <c r="I451">
        <v>10301</v>
      </c>
    </row>
    <row r="452" spans="1:9">
      <c r="A452" s="2">
        <v>45383</v>
      </c>
      <c r="B452">
        <v>2024</v>
      </c>
      <c r="C452" t="s">
        <v>12</v>
      </c>
      <c r="D452" t="s">
        <v>21</v>
      </c>
      <c r="E452" t="s">
        <v>27</v>
      </c>
      <c r="F452">
        <v>178</v>
      </c>
      <c r="G452">
        <v>1219</v>
      </c>
      <c r="H452">
        <v>216982</v>
      </c>
      <c r="I452">
        <v>43845</v>
      </c>
    </row>
    <row r="453" spans="1:9">
      <c r="A453" s="2">
        <v>45383</v>
      </c>
      <c r="B453">
        <v>2024</v>
      </c>
      <c r="C453" t="s">
        <v>12</v>
      </c>
      <c r="D453" t="s">
        <v>21</v>
      </c>
      <c r="E453" t="s">
        <v>28</v>
      </c>
      <c r="F453">
        <v>205</v>
      </c>
      <c r="G453">
        <v>1296</v>
      </c>
      <c r="H453">
        <v>265680</v>
      </c>
      <c r="I453">
        <v>52750</v>
      </c>
    </row>
    <row r="454" spans="1:9">
      <c r="A454" s="2">
        <v>45383</v>
      </c>
      <c r="B454">
        <v>2024</v>
      </c>
      <c r="C454" t="s">
        <v>12</v>
      </c>
      <c r="D454" t="s">
        <v>21</v>
      </c>
      <c r="E454" t="s">
        <v>29</v>
      </c>
      <c r="F454">
        <v>349</v>
      </c>
      <c r="G454">
        <v>1338</v>
      </c>
      <c r="H454">
        <v>466962</v>
      </c>
      <c r="I454">
        <v>101320</v>
      </c>
    </row>
    <row r="455" spans="1:9">
      <c r="A455" s="2">
        <v>45383</v>
      </c>
      <c r="B455">
        <v>2024</v>
      </c>
      <c r="C455" t="s">
        <v>12</v>
      </c>
      <c r="D455" t="s">
        <v>21</v>
      </c>
      <c r="E455" t="s">
        <v>30</v>
      </c>
      <c r="F455">
        <v>408</v>
      </c>
      <c r="G455">
        <v>1224</v>
      </c>
      <c r="H455">
        <v>499392</v>
      </c>
      <c r="I455">
        <v>57799</v>
      </c>
    </row>
    <row r="456" spans="1:9">
      <c r="A456" s="2">
        <v>45383</v>
      </c>
      <c r="B456">
        <v>2024</v>
      </c>
      <c r="C456" t="s">
        <v>12</v>
      </c>
      <c r="D456" t="s">
        <v>21</v>
      </c>
      <c r="E456" t="s">
        <v>31</v>
      </c>
      <c r="F456">
        <v>183</v>
      </c>
      <c r="G456">
        <v>1375</v>
      </c>
      <c r="H456">
        <v>251625</v>
      </c>
      <c r="I456">
        <v>30540</v>
      </c>
    </row>
    <row r="457" spans="1:9">
      <c r="A457" s="2">
        <v>45383</v>
      </c>
      <c r="B457">
        <v>2024</v>
      </c>
      <c r="C457" t="s">
        <v>12</v>
      </c>
      <c r="D457" t="s">
        <v>22</v>
      </c>
      <c r="E457" t="s">
        <v>27</v>
      </c>
      <c r="F457">
        <v>187</v>
      </c>
      <c r="G457">
        <v>816</v>
      </c>
      <c r="H457">
        <v>152592</v>
      </c>
      <c r="I457">
        <v>20073</v>
      </c>
    </row>
    <row r="458" spans="1:9">
      <c r="A458" s="2">
        <v>45383</v>
      </c>
      <c r="B458">
        <v>2024</v>
      </c>
      <c r="C458" t="s">
        <v>12</v>
      </c>
      <c r="D458" t="s">
        <v>22</v>
      </c>
      <c r="E458" t="s">
        <v>28</v>
      </c>
      <c r="F458">
        <v>283</v>
      </c>
      <c r="G458">
        <v>831</v>
      </c>
      <c r="H458">
        <v>235173</v>
      </c>
      <c r="I458">
        <v>23861</v>
      </c>
    </row>
    <row r="459" spans="1:9">
      <c r="A459" s="2">
        <v>45383</v>
      </c>
      <c r="B459">
        <v>2024</v>
      </c>
      <c r="C459" t="s">
        <v>12</v>
      </c>
      <c r="D459" t="s">
        <v>22</v>
      </c>
      <c r="E459" t="s">
        <v>29</v>
      </c>
      <c r="F459">
        <v>95</v>
      </c>
      <c r="G459">
        <v>826</v>
      </c>
      <c r="H459">
        <v>78470</v>
      </c>
      <c r="I459">
        <v>18234</v>
      </c>
    </row>
    <row r="460" spans="1:9">
      <c r="A460" s="2">
        <v>45383</v>
      </c>
      <c r="B460">
        <v>2024</v>
      </c>
      <c r="C460" t="s">
        <v>12</v>
      </c>
      <c r="D460" t="s">
        <v>22</v>
      </c>
      <c r="E460" t="s">
        <v>30</v>
      </c>
      <c r="F460">
        <v>184</v>
      </c>
      <c r="G460">
        <v>735</v>
      </c>
      <c r="H460">
        <v>135240</v>
      </c>
      <c r="I460">
        <v>21575</v>
      </c>
    </row>
    <row r="461" spans="1:9">
      <c r="A461" s="2">
        <v>45383</v>
      </c>
      <c r="B461">
        <v>2024</v>
      </c>
      <c r="C461" t="s">
        <v>12</v>
      </c>
      <c r="D461" t="s">
        <v>22</v>
      </c>
      <c r="E461" t="s">
        <v>31</v>
      </c>
      <c r="F461">
        <v>322</v>
      </c>
      <c r="G461">
        <v>915</v>
      </c>
      <c r="H461">
        <v>294630</v>
      </c>
      <c r="I461">
        <v>38339</v>
      </c>
    </row>
    <row r="462" spans="1:9">
      <c r="A462" s="2">
        <v>45383</v>
      </c>
      <c r="B462">
        <v>2024</v>
      </c>
      <c r="C462" t="s">
        <v>12</v>
      </c>
      <c r="D462" t="s">
        <v>23</v>
      </c>
      <c r="E462" t="s">
        <v>27</v>
      </c>
      <c r="F462">
        <v>237</v>
      </c>
      <c r="G462">
        <v>132</v>
      </c>
      <c r="H462">
        <v>31284</v>
      </c>
      <c r="I462">
        <v>4067</v>
      </c>
    </row>
    <row r="463" spans="1:9">
      <c r="A463" s="2">
        <v>45383</v>
      </c>
      <c r="B463">
        <v>2024</v>
      </c>
      <c r="C463" t="s">
        <v>12</v>
      </c>
      <c r="D463" t="s">
        <v>23</v>
      </c>
      <c r="E463" t="s">
        <v>28</v>
      </c>
      <c r="F463">
        <v>453</v>
      </c>
      <c r="G463">
        <v>136</v>
      </c>
      <c r="H463">
        <v>61608</v>
      </c>
      <c r="I463">
        <v>7308</v>
      </c>
    </row>
    <row r="464" spans="1:9">
      <c r="A464" s="2">
        <v>45383</v>
      </c>
      <c r="B464">
        <v>2024</v>
      </c>
      <c r="C464" t="s">
        <v>12</v>
      </c>
      <c r="D464" t="s">
        <v>23</v>
      </c>
      <c r="E464" t="s">
        <v>29</v>
      </c>
      <c r="F464">
        <v>238</v>
      </c>
      <c r="G464">
        <v>108</v>
      </c>
      <c r="H464">
        <v>25704</v>
      </c>
      <c r="I464">
        <v>6180</v>
      </c>
    </row>
    <row r="465" spans="1:9">
      <c r="A465" s="2">
        <v>45383</v>
      </c>
      <c r="B465">
        <v>2024</v>
      </c>
      <c r="C465" t="s">
        <v>12</v>
      </c>
      <c r="D465" t="s">
        <v>23</v>
      </c>
      <c r="E465" t="s">
        <v>30</v>
      </c>
      <c r="F465">
        <v>356</v>
      </c>
      <c r="G465">
        <v>124</v>
      </c>
      <c r="H465">
        <v>44144</v>
      </c>
      <c r="I465">
        <v>9109</v>
      </c>
    </row>
    <row r="466" spans="1:9">
      <c r="A466" s="2">
        <v>45383</v>
      </c>
      <c r="B466">
        <v>2024</v>
      </c>
      <c r="C466" t="s">
        <v>12</v>
      </c>
      <c r="D466" t="s">
        <v>23</v>
      </c>
      <c r="E466" t="s">
        <v>31</v>
      </c>
      <c r="F466">
        <v>405</v>
      </c>
      <c r="G466">
        <v>136</v>
      </c>
      <c r="H466">
        <v>55080</v>
      </c>
      <c r="I466">
        <v>10674</v>
      </c>
    </row>
    <row r="467" spans="1:9">
      <c r="A467" s="2">
        <v>45383</v>
      </c>
      <c r="B467">
        <v>2024</v>
      </c>
      <c r="C467" t="s">
        <v>12</v>
      </c>
      <c r="D467" t="s">
        <v>24</v>
      </c>
      <c r="E467" t="s">
        <v>27</v>
      </c>
      <c r="F467">
        <v>192</v>
      </c>
      <c r="G467">
        <v>590</v>
      </c>
      <c r="H467">
        <v>113280</v>
      </c>
      <c r="I467">
        <v>25173</v>
      </c>
    </row>
    <row r="468" spans="1:9">
      <c r="A468" s="2">
        <v>45383</v>
      </c>
      <c r="B468">
        <v>2024</v>
      </c>
      <c r="C468" t="s">
        <v>12</v>
      </c>
      <c r="D468" t="s">
        <v>24</v>
      </c>
      <c r="E468" t="s">
        <v>28</v>
      </c>
      <c r="F468">
        <v>101</v>
      </c>
      <c r="G468">
        <v>639</v>
      </c>
      <c r="H468">
        <v>64539</v>
      </c>
      <c r="I468">
        <v>11807</v>
      </c>
    </row>
    <row r="469" spans="1:9">
      <c r="A469" s="2">
        <v>45383</v>
      </c>
      <c r="B469">
        <v>2024</v>
      </c>
      <c r="C469" t="s">
        <v>12</v>
      </c>
      <c r="D469" t="s">
        <v>24</v>
      </c>
      <c r="E469" t="s">
        <v>29</v>
      </c>
      <c r="F469">
        <v>464</v>
      </c>
      <c r="G469">
        <v>657</v>
      </c>
      <c r="H469">
        <v>304848</v>
      </c>
      <c r="I469">
        <v>52475</v>
      </c>
    </row>
    <row r="470" spans="1:9">
      <c r="A470" s="2">
        <v>45383</v>
      </c>
      <c r="B470">
        <v>2024</v>
      </c>
      <c r="C470" t="s">
        <v>12</v>
      </c>
      <c r="D470" t="s">
        <v>24</v>
      </c>
      <c r="E470" t="s">
        <v>30</v>
      </c>
      <c r="F470">
        <v>243</v>
      </c>
      <c r="G470">
        <v>618</v>
      </c>
      <c r="H470">
        <v>150174</v>
      </c>
      <c r="I470">
        <v>31497</v>
      </c>
    </row>
    <row r="471" spans="1:9">
      <c r="A471" s="2">
        <v>45383</v>
      </c>
      <c r="B471">
        <v>2024</v>
      </c>
      <c r="C471" t="s">
        <v>12</v>
      </c>
      <c r="D471" t="s">
        <v>24</v>
      </c>
      <c r="E471" t="s">
        <v>31</v>
      </c>
      <c r="F471">
        <v>107</v>
      </c>
      <c r="G471">
        <v>577</v>
      </c>
      <c r="H471">
        <v>61739</v>
      </c>
      <c r="I471">
        <v>7651</v>
      </c>
    </row>
    <row r="472" spans="1:9">
      <c r="A472" s="2">
        <v>45383</v>
      </c>
      <c r="B472">
        <v>2024</v>
      </c>
      <c r="C472" t="s">
        <v>12</v>
      </c>
      <c r="D472" t="s">
        <v>25</v>
      </c>
      <c r="E472" t="s">
        <v>27</v>
      </c>
      <c r="F472">
        <v>448</v>
      </c>
      <c r="G472">
        <v>263</v>
      </c>
      <c r="H472">
        <v>117824</v>
      </c>
      <c r="I472">
        <v>17597</v>
      </c>
    </row>
    <row r="473" spans="1:9">
      <c r="A473" s="2">
        <v>45383</v>
      </c>
      <c r="B473">
        <v>2024</v>
      </c>
      <c r="C473" t="s">
        <v>12</v>
      </c>
      <c r="D473" t="s">
        <v>25</v>
      </c>
      <c r="E473" t="s">
        <v>28</v>
      </c>
      <c r="F473">
        <v>374</v>
      </c>
      <c r="G473">
        <v>246</v>
      </c>
      <c r="H473">
        <v>92004</v>
      </c>
      <c r="I473">
        <v>11713</v>
      </c>
    </row>
    <row r="474" spans="1:9">
      <c r="A474" s="2">
        <v>45383</v>
      </c>
      <c r="B474">
        <v>2024</v>
      </c>
      <c r="C474" t="s">
        <v>12</v>
      </c>
      <c r="D474" t="s">
        <v>25</v>
      </c>
      <c r="E474" t="s">
        <v>29</v>
      </c>
      <c r="F474">
        <v>233</v>
      </c>
      <c r="G474">
        <v>252</v>
      </c>
      <c r="H474">
        <v>58716</v>
      </c>
      <c r="I474">
        <v>6256</v>
      </c>
    </row>
    <row r="475" spans="1:9">
      <c r="A475" s="2">
        <v>45383</v>
      </c>
      <c r="B475">
        <v>2024</v>
      </c>
      <c r="C475" t="s">
        <v>12</v>
      </c>
      <c r="D475" t="s">
        <v>25</v>
      </c>
      <c r="E475" t="s">
        <v>30</v>
      </c>
      <c r="F475">
        <v>447</v>
      </c>
      <c r="G475">
        <v>259</v>
      </c>
      <c r="H475">
        <v>115773</v>
      </c>
      <c r="I475">
        <v>24066</v>
      </c>
    </row>
    <row r="476" spans="1:9">
      <c r="A476" s="2">
        <v>45383</v>
      </c>
      <c r="B476">
        <v>2024</v>
      </c>
      <c r="C476" t="s">
        <v>12</v>
      </c>
      <c r="D476" t="s">
        <v>25</v>
      </c>
      <c r="E476" t="s">
        <v>31</v>
      </c>
      <c r="F476">
        <v>270</v>
      </c>
      <c r="G476">
        <v>245</v>
      </c>
      <c r="H476">
        <v>66150</v>
      </c>
      <c r="I476">
        <v>11997</v>
      </c>
    </row>
    <row r="477" spans="1:9">
      <c r="A477" s="2">
        <v>45383</v>
      </c>
      <c r="B477">
        <v>2024</v>
      </c>
      <c r="C477" t="s">
        <v>12</v>
      </c>
      <c r="D477" t="s">
        <v>26</v>
      </c>
      <c r="E477" t="s">
        <v>27</v>
      </c>
      <c r="F477">
        <v>162</v>
      </c>
      <c r="G477">
        <v>371</v>
      </c>
      <c r="H477">
        <v>60102</v>
      </c>
      <c r="I477">
        <v>7809</v>
      </c>
    </row>
    <row r="478" spans="1:9">
      <c r="A478" s="2">
        <v>45383</v>
      </c>
      <c r="B478">
        <v>2024</v>
      </c>
      <c r="C478" t="s">
        <v>12</v>
      </c>
      <c r="D478" t="s">
        <v>26</v>
      </c>
      <c r="E478" t="s">
        <v>28</v>
      </c>
      <c r="F478">
        <v>134</v>
      </c>
      <c r="G478">
        <v>334</v>
      </c>
      <c r="H478">
        <v>44756</v>
      </c>
      <c r="I478">
        <v>7284</v>
      </c>
    </row>
    <row r="479" spans="1:9">
      <c r="A479" s="2">
        <v>45383</v>
      </c>
      <c r="B479">
        <v>2024</v>
      </c>
      <c r="C479" t="s">
        <v>12</v>
      </c>
      <c r="D479" t="s">
        <v>26</v>
      </c>
      <c r="E479" t="s">
        <v>29</v>
      </c>
      <c r="F479">
        <v>337</v>
      </c>
      <c r="G479">
        <v>337</v>
      </c>
      <c r="H479">
        <v>113569</v>
      </c>
      <c r="I479">
        <v>19237</v>
      </c>
    </row>
    <row r="480" spans="1:9">
      <c r="A480" s="2">
        <v>45383</v>
      </c>
      <c r="B480">
        <v>2024</v>
      </c>
      <c r="C480" t="s">
        <v>12</v>
      </c>
      <c r="D480" t="s">
        <v>26</v>
      </c>
      <c r="E480" t="s">
        <v>30</v>
      </c>
      <c r="F480">
        <v>344</v>
      </c>
      <c r="G480">
        <v>378</v>
      </c>
      <c r="H480">
        <v>130032</v>
      </c>
      <c r="I480">
        <v>27489</v>
      </c>
    </row>
    <row r="481" spans="1:9">
      <c r="A481" s="2">
        <v>45383</v>
      </c>
      <c r="B481">
        <v>2024</v>
      </c>
      <c r="C481" t="s">
        <v>12</v>
      </c>
      <c r="D481" t="s">
        <v>26</v>
      </c>
      <c r="E481" t="s">
        <v>31</v>
      </c>
      <c r="F481">
        <v>439</v>
      </c>
      <c r="G481">
        <v>345</v>
      </c>
      <c r="H481">
        <v>151455</v>
      </c>
      <c r="I481">
        <v>23574</v>
      </c>
    </row>
    <row r="482" spans="1:9">
      <c r="A482" s="2">
        <v>45413</v>
      </c>
      <c r="B482">
        <v>2024</v>
      </c>
      <c r="C482" t="s">
        <v>13</v>
      </c>
      <c r="D482" t="s">
        <v>21</v>
      </c>
      <c r="E482" t="s">
        <v>27</v>
      </c>
      <c r="F482">
        <v>114</v>
      </c>
      <c r="G482">
        <v>1231</v>
      </c>
      <c r="H482">
        <v>140334</v>
      </c>
      <c r="I482">
        <v>25469</v>
      </c>
    </row>
    <row r="483" spans="1:9">
      <c r="A483" s="2">
        <v>45413</v>
      </c>
      <c r="B483">
        <v>2024</v>
      </c>
      <c r="C483" t="s">
        <v>13</v>
      </c>
      <c r="D483" t="s">
        <v>21</v>
      </c>
      <c r="E483" t="s">
        <v>28</v>
      </c>
      <c r="F483">
        <v>203</v>
      </c>
      <c r="G483">
        <v>1256</v>
      </c>
      <c r="H483">
        <v>254968</v>
      </c>
      <c r="I483">
        <v>26620</v>
      </c>
    </row>
    <row r="484" spans="1:9">
      <c r="A484" s="2">
        <v>45413</v>
      </c>
      <c r="B484">
        <v>2024</v>
      </c>
      <c r="C484" t="s">
        <v>13</v>
      </c>
      <c r="D484" t="s">
        <v>21</v>
      </c>
      <c r="E484" t="s">
        <v>29</v>
      </c>
      <c r="F484">
        <v>356</v>
      </c>
      <c r="G484">
        <v>1342</v>
      </c>
      <c r="H484">
        <v>477752</v>
      </c>
      <c r="I484">
        <v>112322</v>
      </c>
    </row>
    <row r="485" spans="1:9">
      <c r="A485" s="2">
        <v>45413</v>
      </c>
      <c r="B485">
        <v>2024</v>
      </c>
      <c r="C485" t="s">
        <v>13</v>
      </c>
      <c r="D485" t="s">
        <v>21</v>
      </c>
      <c r="E485" t="s">
        <v>30</v>
      </c>
      <c r="F485">
        <v>395</v>
      </c>
      <c r="G485">
        <v>1276</v>
      </c>
      <c r="H485">
        <v>504020</v>
      </c>
      <c r="I485">
        <v>125410</v>
      </c>
    </row>
    <row r="486" spans="1:9">
      <c r="A486" s="2">
        <v>45413</v>
      </c>
      <c r="B486">
        <v>2024</v>
      </c>
      <c r="C486" t="s">
        <v>13</v>
      </c>
      <c r="D486" t="s">
        <v>21</v>
      </c>
      <c r="E486" t="s">
        <v>31</v>
      </c>
      <c r="F486">
        <v>307</v>
      </c>
      <c r="G486">
        <v>1353</v>
      </c>
      <c r="H486">
        <v>415371</v>
      </c>
      <c r="I486">
        <v>54662</v>
      </c>
    </row>
    <row r="487" spans="1:9">
      <c r="A487" s="2">
        <v>45413</v>
      </c>
      <c r="B487">
        <v>2024</v>
      </c>
      <c r="C487" t="s">
        <v>13</v>
      </c>
      <c r="D487" t="s">
        <v>22</v>
      </c>
      <c r="E487" t="s">
        <v>27</v>
      </c>
      <c r="F487">
        <v>366</v>
      </c>
      <c r="G487">
        <v>813</v>
      </c>
      <c r="H487">
        <v>297558</v>
      </c>
      <c r="I487">
        <v>67069</v>
      </c>
    </row>
    <row r="488" spans="1:9">
      <c r="A488" s="2">
        <v>45413</v>
      </c>
      <c r="B488">
        <v>2024</v>
      </c>
      <c r="C488" t="s">
        <v>13</v>
      </c>
      <c r="D488" t="s">
        <v>22</v>
      </c>
      <c r="E488" t="s">
        <v>28</v>
      </c>
      <c r="F488">
        <v>352</v>
      </c>
      <c r="G488">
        <v>746</v>
      </c>
      <c r="H488">
        <v>262592</v>
      </c>
      <c r="I488">
        <v>54454</v>
      </c>
    </row>
    <row r="489" spans="1:9">
      <c r="A489" s="2">
        <v>45413</v>
      </c>
      <c r="B489">
        <v>2024</v>
      </c>
      <c r="C489" t="s">
        <v>13</v>
      </c>
      <c r="D489" t="s">
        <v>22</v>
      </c>
      <c r="E489" t="s">
        <v>29</v>
      </c>
      <c r="F489">
        <v>370</v>
      </c>
      <c r="G489">
        <v>840</v>
      </c>
      <c r="H489">
        <v>310800</v>
      </c>
      <c r="I489">
        <v>60569</v>
      </c>
    </row>
    <row r="490" spans="1:9">
      <c r="A490" s="2">
        <v>45413</v>
      </c>
      <c r="B490">
        <v>2024</v>
      </c>
      <c r="C490" t="s">
        <v>13</v>
      </c>
      <c r="D490" t="s">
        <v>22</v>
      </c>
      <c r="E490" t="s">
        <v>30</v>
      </c>
      <c r="F490">
        <v>107</v>
      </c>
      <c r="G490">
        <v>914</v>
      </c>
      <c r="H490">
        <v>97798</v>
      </c>
      <c r="I490">
        <v>12434</v>
      </c>
    </row>
    <row r="491" spans="1:9">
      <c r="A491" s="2">
        <v>45413</v>
      </c>
      <c r="B491">
        <v>2024</v>
      </c>
      <c r="C491" t="s">
        <v>13</v>
      </c>
      <c r="D491" t="s">
        <v>22</v>
      </c>
      <c r="E491" t="s">
        <v>31</v>
      </c>
      <c r="F491">
        <v>139</v>
      </c>
      <c r="G491">
        <v>769</v>
      </c>
      <c r="H491">
        <v>106891</v>
      </c>
      <c r="I491">
        <v>24650</v>
      </c>
    </row>
    <row r="492" spans="1:9">
      <c r="A492" s="2">
        <v>45413</v>
      </c>
      <c r="B492">
        <v>2024</v>
      </c>
      <c r="C492" t="s">
        <v>13</v>
      </c>
      <c r="D492" t="s">
        <v>23</v>
      </c>
      <c r="E492" t="s">
        <v>27</v>
      </c>
      <c r="F492">
        <v>220</v>
      </c>
      <c r="G492">
        <v>125</v>
      </c>
      <c r="H492">
        <v>27500</v>
      </c>
      <c r="I492">
        <v>5140</v>
      </c>
    </row>
    <row r="493" spans="1:9">
      <c r="A493" s="2">
        <v>45413</v>
      </c>
      <c r="B493">
        <v>2024</v>
      </c>
      <c r="C493" t="s">
        <v>13</v>
      </c>
      <c r="D493" t="s">
        <v>23</v>
      </c>
      <c r="E493" t="s">
        <v>28</v>
      </c>
      <c r="F493">
        <v>189</v>
      </c>
      <c r="G493">
        <v>125</v>
      </c>
      <c r="H493">
        <v>23625</v>
      </c>
      <c r="I493">
        <v>2941</v>
      </c>
    </row>
    <row r="494" spans="1:9">
      <c r="A494" s="2">
        <v>45413</v>
      </c>
      <c r="B494">
        <v>2024</v>
      </c>
      <c r="C494" t="s">
        <v>13</v>
      </c>
      <c r="D494" t="s">
        <v>23</v>
      </c>
      <c r="E494" t="s">
        <v>29</v>
      </c>
      <c r="F494">
        <v>124</v>
      </c>
      <c r="G494">
        <v>115</v>
      </c>
      <c r="H494">
        <v>14260</v>
      </c>
      <c r="I494">
        <v>2830</v>
      </c>
    </row>
    <row r="495" spans="1:9">
      <c r="A495" s="2">
        <v>45413</v>
      </c>
      <c r="B495">
        <v>2024</v>
      </c>
      <c r="C495" t="s">
        <v>13</v>
      </c>
      <c r="D495" t="s">
        <v>23</v>
      </c>
      <c r="E495" t="s">
        <v>30</v>
      </c>
      <c r="F495">
        <v>281</v>
      </c>
      <c r="G495">
        <v>137</v>
      </c>
      <c r="H495">
        <v>38497</v>
      </c>
      <c r="I495">
        <v>6470</v>
      </c>
    </row>
    <row r="496" spans="1:9">
      <c r="A496" s="2">
        <v>45413</v>
      </c>
      <c r="B496">
        <v>2024</v>
      </c>
      <c r="C496" t="s">
        <v>13</v>
      </c>
      <c r="D496" t="s">
        <v>23</v>
      </c>
      <c r="E496" t="s">
        <v>31</v>
      </c>
      <c r="F496">
        <v>103</v>
      </c>
      <c r="G496">
        <v>110</v>
      </c>
      <c r="H496">
        <v>11330</v>
      </c>
      <c r="I496">
        <v>1421</v>
      </c>
    </row>
    <row r="497" spans="1:9">
      <c r="A497" s="2">
        <v>45413</v>
      </c>
      <c r="B497">
        <v>2024</v>
      </c>
      <c r="C497" t="s">
        <v>13</v>
      </c>
      <c r="D497" t="s">
        <v>24</v>
      </c>
      <c r="E497" t="s">
        <v>27</v>
      </c>
      <c r="F497">
        <v>199</v>
      </c>
      <c r="G497">
        <v>590</v>
      </c>
      <c r="H497">
        <v>117410</v>
      </c>
      <c r="I497">
        <v>26338</v>
      </c>
    </row>
    <row r="498" spans="1:9">
      <c r="A498" s="2">
        <v>45413</v>
      </c>
      <c r="B498">
        <v>2024</v>
      </c>
      <c r="C498" t="s">
        <v>13</v>
      </c>
      <c r="D498" t="s">
        <v>24</v>
      </c>
      <c r="E498" t="s">
        <v>28</v>
      </c>
      <c r="F498">
        <v>389</v>
      </c>
      <c r="G498">
        <v>607</v>
      </c>
      <c r="H498">
        <v>236123</v>
      </c>
      <c r="I498">
        <v>44434</v>
      </c>
    </row>
    <row r="499" spans="1:9">
      <c r="A499" s="2">
        <v>45413</v>
      </c>
      <c r="B499">
        <v>2024</v>
      </c>
      <c r="C499" t="s">
        <v>13</v>
      </c>
      <c r="D499" t="s">
        <v>24</v>
      </c>
      <c r="E499" t="s">
        <v>29</v>
      </c>
      <c r="F499">
        <v>92</v>
      </c>
      <c r="G499">
        <v>577</v>
      </c>
      <c r="H499">
        <v>53084</v>
      </c>
      <c r="I499">
        <v>8168</v>
      </c>
    </row>
    <row r="500" spans="1:9">
      <c r="A500" s="2">
        <v>45413</v>
      </c>
      <c r="B500">
        <v>2024</v>
      </c>
      <c r="C500" t="s">
        <v>13</v>
      </c>
      <c r="D500" t="s">
        <v>24</v>
      </c>
      <c r="E500" t="s">
        <v>30</v>
      </c>
      <c r="F500">
        <v>421</v>
      </c>
      <c r="G500">
        <v>545</v>
      </c>
      <c r="H500">
        <v>229445</v>
      </c>
      <c r="I500">
        <v>48289</v>
      </c>
    </row>
    <row r="501" spans="1:9">
      <c r="A501" s="2">
        <v>45413</v>
      </c>
      <c r="B501">
        <v>2024</v>
      </c>
      <c r="C501" t="s">
        <v>13</v>
      </c>
      <c r="D501" t="s">
        <v>24</v>
      </c>
      <c r="E501" t="s">
        <v>31</v>
      </c>
      <c r="F501">
        <v>328</v>
      </c>
      <c r="G501">
        <v>611</v>
      </c>
      <c r="H501">
        <v>200408</v>
      </c>
      <c r="I501">
        <v>45417</v>
      </c>
    </row>
    <row r="502" spans="1:9">
      <c r="A502" s="2">
        <v>45413</v>
      </c>
      <c r="B502">
        <v>2024</v>
      </c>
      <c r="C502" t="s">
        <v>13</v>
      </c>
      <c r="D502" t="s">
        <v>25</v>
      </c>
      <c r="E502" t="s">
        <v>27</v>
      </c>
      <c r="F502">
        <v>142</v>
      </c>
      <c r="G502">
        <v>252</v>
      </c>
      <c r="H502">
        <v>35784</v>
      </c>
      <c r="I502">
        <v>8217</v>
      </c>
    </row>
    <row r="503" spans="1:9">
      <c r="A503" s="2">
        <v>45413</v>
      </c>
      <c r="B503">
        <v>2024</v>
      </c>
      <c r="C503" t="s">
        <v>13</v>
      </c>
      <c r="D503" t="s">
        <v>25</v>
      </c>
      <c r="E503" t="s">
        <v>28</v>
      </c>
      <c r="F503">
        <v>216</v>
      </c>
      <c r="G503">
        <v>258</v>
      </c>
      <c r="H503">
        <v>55728</v>
      </c>
      <c r="I503">
        <v>5858</v>
      </c>
    </row>
    <row r="504" spans="1:9">
      <c r="A504" s="2">
        <v>45413</v>
      </c>
      <c r="B504">
        <v>2024</v>
      </c>
      <c r="C504" t="s">
        <v>13</v>
      </c>
      <c r="D504" t="s">
        <v>25</v>
      </c>
      <c r="E504" t="s">
        <v>29</v>
      </c>
      <c r="F504">
        <v>242</v>
      </c>
      <c r="G504">
        <v>232</v>
      </c>
      <c r="H504">
        <v>56144</v>
      </c>
      <c r="I504">
        <v>7560</v>
      </c>
    </row>
    <row r="505" spans="1:9">
      <c r="A505" s="2">
        <v>45413</v>
      </c>
      <c r="B505">
        <v>2024</v>
      </c>
      <c r="C505" t="s">
        <v>13</v>
      </c>
      <c r="D505" t="s">
        <v>25</v>
      </c>
      <c r="E505" t="s">
        <v>30</v>
      </c>
      <c r="F505">
        <v>418</v>
      </c>
      <c r="G505">
        <v>227</v>
      </c>
      <c r="H505">
        <v>94886</v>
      </c>
      <c r="I505">
        <v>11226</v>
      </c>
    </row>
    <row r="506" spans="1:9">
      <c r="A506" s="2">
        <v>45413</v>
      </c>
      <c r="B506">
        <v>2024</v>
      </c>
      <c r="C506" t="s">
        <v>13</v>
      </c>
      <c r="D506" t="s">
        <v>25</v>
      </c>
      <c r="E506" t="s">
        <v>31</v>
      </c>
      <c r="F506">
        <v>321</v>
      </c>
      <c r="G506">
        <v>236</v>
      </c>
      <c r="H506">
        <v>75756</v>
      </c>
      <c r="I506">
        <v>8581</v>
      </c>
    </row>
    <row r="507" spans="1:9">
      <c r="A507" s="2">
        <v>45413</v>
      </c>
      <c r="B507">
        <v>2024</v>
      </c>
      <c r="C507" t="s">
        <v>13</v>
      </c>
      <c r="D507" t="s">
        <v>26</v>
      </c>
      <c r="E507" t="s">
        <v>27</v>
      </c>
      <c r="F507">
        <v>278</v>
      </c>
      <c r="G507">
        <v>359</v>
      </c>
      <c r="H507">
        <v>99802</v>
      </c>
      <c r="I507">
        <v>10602</v>
      </c>
    </row>
    <row r="508" spans="1:9">
      <c r="A508" s="2">
        <v>45413</v>
      </c>
      <c r="B508">
        <v>2024</v>
      </c>
      <c r="C508" t="s">
        <v>13</v>
      </c>
      <c r="D508" t="s">
        <v>26</v>
      </c>
      <c r="E508" t="s">
        <v>28</v>
      </c>
      <c r="F508">
        <v>411</v>
      </c>
      <c r="G508">
        <v>401</v>
      </c>
      <c r="H508">
        <v>164811</v>
      </c>
      <c r="I508">
        <v>40340</v>
      </c>
    </row>
    <row r="509" spans="1:9">
      <c r="A509" s="2">
        <v>45413</v>
      </c>
      <c r="B509">
        <v>2024</v>
      </c>
      <c r="C509" t="s">
        <v>13</v>
      </c>
      <c r="D509" t="s">
        <v>26</v>
      </c>
      <c r="E509" t="s">
        <v>29</v>
      </c>
      <c r="F509">
        <v>438</v>
      </c>
      <c r="G509">
        <v>316</v>
      </c>
      <c r="H509">
        <v>138408</v>
      </c>
      <c r="I509">
        <v>20549</v>
      </c>
    </row>
    <row r="510" spans="1:9">
      <c r="A510" s="2">
        <v>45413</v>
      </c>
      <c r="B510">
        <v>2024</v>
      </c>
      <c r="C510" t="s">
        <v>13</v>
      </c>
      <c r="D510" t="s">
        <v>26</v>
      </c>
      <c r="E510" t="s">
        <v>30</v>
      </c>
      <c r="F510">
        <v>422</v>
      </c>
      <c r="G510">
        <v>390</v>
      </c>
      <c r="H510">
        <v>164580</v>
      </c>
      <c r="I510">
        <v>27684</v>
      </c>
    </row>
    <row r="511" spans="1:9">
      <c r="A511" s="2">
        <v>45413</v>
      </c>
      <c r="B511">
        <v>2024</v>
      </c>
      <c r="C511" t="s">
        <v>13</v>
      </c>
      <c r="D511" t="s">
        <v>26</v>
      </c>
      <c r="E511" t="s">
        <v>31</v>
      </c>
      <c r="F511">
        <v>298</v>
      </c>
      <c r="G511">
        <v>344</v>
      </c>
      <c r="H511">
        <v>102512</v>
      </c>
      <c r="I511">
        <v>18435</v>
      </c>
    </row>
    <row r="512" spans="1:9">
      <c r="A512" s="2">
        <v>45444</v>
      </c>
      <c r="B512">
        <v>2024</v>
      </c>
      <c r="C512" t="s">
        <v>14</v>
      </c>
      <c r="D512" t="s">
        <v>21</v>
      </c>
      <c r="E512" t="s">
        <v>27</v>
      </c>
      <c r="F512">
        <v>260</v>
      </c>
      <c r="G512">
        <v>1088</v>
      </c>
      <c r="H512">
        <v>282880</v>
      </c>
      <c r="I512">
        <v>41354</v>
      </c>
    </row>
    <row r="513" spans="1:9">
      <c r="A513" s="2">
        <v>45444</v>
      </c>
      <c r="B513">
        <v>2024</v>
      </c>
      <c r="C513" t="s">
        <v>14</v>
      </c>
      <c r="D513" t="s">
        <v>21</v>
      </c>
      <c r="E513" t="s">
        <v>28</v>
      </c>
      <c r="F513">
        <v>354</v>
      </c>
      <c r="G513">
        <v>1299</v>
      </c>
      <c r="H513">
        <v>459846</v>
      </c>
      <c r="I513">
        <v>57185</v>
      </c>
    </row>
    <row r="514" spans="1:9">
      <c r="A514" s="2">
        <v>45444</v>
      </c>
      <c r="B514">
        <v>2024</v>
      </c>
      <c r="C514" t="s">
        <v>14</v>
      </c>
      <c r="D514" t="s">
        <v>21</v>
      </c>
      <c r="E514" t="s">
        <v>29</v>
      </c>
      <c r="F514">
        <v>235</v>
      </c>
      <c r="G514">
        <v>1299</v>
      </c>
      <c r="H514">
        <v>305265</v>
      </c>
      <c r="I514">
        <v>37677</v>
      </c>
    </row>
    <row r="515" spans="1:9">
      <c r="A515" s="2">
        <v>45444</v>
      </c>
      <c r="B515">
        <v>2024</v>
      </c>
      <c r="C515" t="s">
        <v>14</v>
      </c>
      <c r="D515" t="s">
        <v>21</v>
      </c>
      <c r="E515" t="s">
        <v>30</v>
      </c>
      <c r="F515">
        <v>95</v>
      </c>
      <c r="G515">
        <v>1369</v>
      </c>
      <c r="H515">
        <v>130055</v>
      </c>
      <c r="I515">
        <v>17986</v>
      </c>
    </row>
    <row r="516" spans="1:9">
      <c r="A516" s="2">
        <v>45444</v>
      </c>
      <c r="B516">
        <v>2024</v>
      </c>
      <c r="C516" t="s">
        <v>14</v>
      </c>
      <c r="D516" t="s">
        <v>21</v>
      </c>
      <c r="E516" t="s">
        <v>31</v>
      </c>
      <c r="F516">
        <v>307</v>
      </c>
      <c r="G516">
        <v>1331</v>
      </c>
      <c r="H516">
        <v>408617</v>
      </c>
      <c r="I516">
        <v>98759</v>
      </c>
    </row>
    <row r="517" spans="1:9">
      <c r="A517" s="2">
        <v>45444</v>
      </c>
      <c r="B517">
        <v>2024</v>
      </c>
      <c r="C517" t="s">
        <v>14</v>
      </c>
      <c r="D517" t="s">
        <v>22</v>
      </c>
      <c r="E517" t="s">
        <v>27</v>
      </c>
      <c r="F517">
        <v>218</v>
      </c>
      <c r="G517">
        <v>768</v>
      </c>
      <c r="H517">
        <v>167424</v>
      </c>
      <c r="I517">
        <v>37608</v>
      </c>
    </row>
    <row r="518" spans="1:9">
      <c r="A518" s="2">
        <v>45444</v>
      </c>
      <c r="B518">
        <v>2024</v>
      </c>
      <c r="C518" t="s">
        <v>14</v>
      </c>
      <c r="D518" t="s">
        <v>22</v>
      </c>
      <c r="E518" t="s">
        <v>28</v>
      </c>
      <c r="F518">
        <v>432</v>
      </c>
      <c r="G518">
        <v>834</v>
      </c>
      <c r="H518">
        <v>360288</v>
      </c>
      <c r="I518">
        <v>37671</v>
      </c>
    </row>
    <row r="519" spans="1:9">
      <c r="A519" s="2">
        <v>45444</v>
      </c>
      <c r="B519">
        <v>2024</v>
      </c>
      <c r="C519" t="s">
        <v>14</v>
      </c>
      <c r="D519" t="s">
        <v>22</v>
      </c>
      <c r="E519" t="s">
        <v>29</v>
      </c>
      <c r="F519">
        <v>431</v>
      </c>
      <c r="G519">
        <v>903</v>
      </c>
      <c r="H519">
        <v>389193</v>
      </c>
      <c r="I519">
        <v>73982</v>
      </c>
    </row>
    <row r="520" spans="1:9">
      <c r="A520" s="2">
        <v>45444</v>
      </c>
      <c r="B520">
        <v>2024</v>
      </c>
      <c r="C520" t="s">
        <v>14</v>
      </c>
      <c r="D520" t="s">
        <v>22</v>
      </c>
      <c r="E520" t="s">
        <v>30</v>
      </c>
      <c r="F520">
        <v>414</v>
      </c>
      <c r="G520">
        <v>851</v>
      </c>
      <c r="H520">
        <v>352314</v>
      </c>
      <c r="I520">
        <v>56045</v>
      </c>
    </row>
    <row r="521" spans="1:9">
      <c r="A521" s="2">
        <v>45444</v>
      </c>
      <c r="B521">
        <v>2024</v>
      </c>
      <c r="C521" t="s">
        <v>14</v>
      </c>
      <c r="D521" t="s">
        <v>22</v>
      </c>
      <c r="E521" t="s">
        <v>31</v>
      </c>
      <c r="F521">
        <v>167</v>
      </c>
      <c r="G521">
        <v>835</v>
      </c>
      <c r="H521">
        <v>139445</v>
      </c>
      <c r="I521">
        <v>21235</v>
      </c>
    </row>
    <row r="522" spans="1:9">
      <c r="A522" s="2">
        <v>45444</v>
      </c>
      <c r="B522">
        <v>2024</v>
      </c>
      <c r="C522" t="s">
        <v>14</v>
      </c>
      <c r="D522" t="s">
        <v>23</v>
      </c>
      <c r="E522" t="s">
        <v>27</v>
      </c>
      <c r="F522">
        <v>306</v>
      </c>
      <c r="G522">
        <v>109</v>
      </c>
      <c r="H522">
        <v>33354</v>
      </c>
      <c r="I522">
        <v>8224</v>
      </c>
    </row>
    <row r="523" spans="1:9">
      <c r="A523" s="2">
        <v>45444</v>
      </c>
      <c r="B523">
        <v>2024</v>
      </c>
      <c r="C523" t="s">
        <v>14</v>
      </c>
      <c r="D523" t="s">
        <v>23</v>
      </c>
      <c r="E523" t="s">
        <v>28</v>
      </c>
      <c r="F523">
        <v>280</v>
      </c>
      <c r="G523">
        <v>137</v>
      </c>
      <c r="H523">
        <v>38360</v>
      </c>
      <c r="I523">
        <v>8165</v>
      </c>
    </row>
    <row r="524" spans="1:9">
      <c r="A524" s="2">
        <v>45444</v>
      </c>
      <c r="B524">
        <v>2024</v>
      </c>
      <c r="C524" t="s">
        <v>14</v>
      </c>
      <c r="D524" t="s">
        <v>23</v>
      </c>
      <c r="E524" t="s">
        <v>29</v>
      </c>
      <c r="F524">
        <v>366</v>
      </c>
      <c r="G524">
        <v>125</v>
      </c>
      <c r="H524">
        <v>45750</v>
      </c>
      <c r="I524">
        <v>9642</v>
      </c>
    </row>
    <row r="525" spans="1:9">
      <c r="A525" s="2">
        <v>45444</v>
      </c>
      <c r="B525">
        <v>2024</v>
      </c>
      <c r="C525" t="s">
        <v>14</v>
      </c>
      <c r="D525" t="s">
        <v>23</v>
      </c>
      <c r="E525" t="s">
        <v>30</v>
      </c>
      <c r="F525">
        <v>200</v>
      </c>
      <c r="G525">
        <v>120</v>
      </c>
      <c r="H525">
        <v>24000</v>
      </c>
      <c r="I525">
        <v>3577</v>
      </c>
    </row>
    <row r="526" spans="1:9">
      <c r="A526" s="2">
        <v>45444</v>
      </c>
      <c r="B526">
        <v>2024</v>
      </c>
      <c r="C526" t="s">
        <v>14</v>
      </c>
      <c r="D526" t="s">
        <v>23</v>
      </c>
      <c r="E526" t="s">
        <v>31</v>
      </c>
      <c r="F526">
        <v>204</v>
      </c>
      <c r="G526">
        <v>121</v>
      </c>
      <c r="H526">
        <v>24684</v>
      </c>
      <c r="I526">
        <v>5805</v>
      </c>
    </row>
    <row r="527" spans="1:9">
      <c r="A527" s="2">
        <v>45444</v>
      </c>
      <c r="B527">
        <v>2024</v>
      </c>
      <c r="C527" t="s">
        <v>14</v>
      </c>
      <c r="D527" t="s">
        <v>24</v>
      </c>
      <c r="E527" t="s">
        <v>27</v>
      </c>
      <c r="F527">
        <v>405</v>
      </c>
      <c r="G527">
        <v>605</v>
      </c>
      <c r="H527">
        <v>245025</v>
      </c>
      <c r="I527">
        <v>54560</v>
      </c>
    </row>
    <row r="528" spans="1:9">
      <c r="A528" s="2">
        <v>45444</v>
      </c>
      <c r="B528">
        <v>2024</v>
      </c>
      <c r="C528" t="s">
        <v>14</v>
      </c>
      <c r="D528" t="s">
        <v>24</v>
      </c>
      <c r="E528" t="s">
        <v>28</v>
      </c>
      <c r="F528">
        <v>440</v>
      </c>
      <c r="G528">
        <v>637</v>
      </c>
      <c r="H528">
        <v>280280</v>
      </c>
      <c r="I528">
        <v>41833</v>
      </c>
    </row>
    <row r="529" spans="1:9">
      <c r="A529" s="2">
        <v>45444</v>
      </c>
      <c r="B529">
        <v>2024</v>
      </c>
      <c r="C529" t="s">
        <v>14</v>
      </c>
      <c r="D529" t="s">
        <v>24</v>
      </c>
      <c r="E529" t="s">
        <v>29</v>
      </c>
      <c r="F529">
        <v>162</v>
      </c>
      <c r="G529">
        <v>594</v>
      </c>
      <c r="H529">
        <v>96228</v>
      </c>
      <c r="I529">
        <v>15341</v>
      </c>
    </row>
    <row r="530" spans="1:9">
      <c r="A530" s="2">
        <v>45444</v>
      </c>
      <c r="B530">
        <v>2024</v>
      </c>
      <c r="C530" t="s">
        <v>14</v>
      </c>
      <c r="D530" t="s">
        <v>24</v>
      </c>
      <c r="E530" t="s">
        <v>30</v>
      </c>
      <c r="F530">
        <v>447</v>
      </c>
      <c r="G530">
        <v>622</v>
      </c>
      <c r="H530">
        <v>278034</v>
      </c>
      <c r="I530">
        <v>52679</v>
      </c>
    </row>
    <row r="531" spans="1:9">
      <c r="A531" s="2">
        <v>45444</v>
      </c>
      <c r="B531">
        <v>2024</v>
      </c>
      <c r="C531" t="s">
        <v>14</v>
      </c>
      <c r="D531" t="s">
        <v>24</v>
      </c>
      <c r="E531" t="s">
        <v>31</v>
      </c>
      <c r="F531">
        <v>342</v>
      </c>
      <c r="G531">
        <v>595</v>
      </c>
      <c r="H531">
        <v>203490</v>
      </c>
      <c r="I531">
        <v>27286</v>
      </c>
    </row>
    <row r="532" spans="1:9">
      <c r="A532" s="2">
        <v>45444</v>
      </c>
      <c r="B532">
        <v>2024</v>
      </c>
      <c r="C532" t="s">
        <v>14</v>
      </c>
      <c r="D532" t="s">
        <v>25</v>
      </c>
      <c r="E532" t="s">
        <v>27</v>
      </c>
      <c r="F532">
        <v>391</v>
      </c>
      <c r="G532">
        <v>262</v>
      </c>
      <c r="H532">
        <v>102442</v>
      </c>
      <c r="I532">
        <v>20512</v>
      </c>
    </row>
    <row r="533" spans="1:9">
      <c r="A533" s="2">
        <v>45444</v>
      </c>
      <c r="B533">
        <v>2024</v>
      </c>
      <c r="C533" t="s">
        <v>14</v>
      </c>
      <c r="D533" t="s">
        <v>25</v>
      </c>
      <c r="E533" t="s">
        <v>28</v>
      </c>
      <c r="F533">
        <v>389</v>
      </c>
      <c r="G533">
        <v>248</v>
      </c>
      <c r="H533">
        <v>96472</v>
      </c>
      <c r="I533">
        <v>22140</v>
      </c>
    </row>
    <row r="534" spans="1:9">
      <c r="A534" s="2">
        <v>45444</v>
      </c>
      <c r="B534">
        <v>2024</v>
      </c>
      <c r="C534" t="s">
        <v>14</v>
      </c>
      <c r="D534" t="s">
        <v>25</v>
      </c>
      <c r="E534" t="s">
        <v>29</v>
      </c>
      <c r="F534">
        <v>433</v>
      </c>
      <c r="G534">
        <v>277</v>
      </c>
      <c r="H534">
        <v>119941</v>
      </c>
      <c r="I534">
        <v>28442</v>
      </c>
    </row>
    <row r="535" spans="1:9">
      <c r="A535" s="2">
        <v>45444</v>
      </c>
      <c r="B535">
        <v>2024</v>
      </c>
      <c r="C535" t="s">
        <v>14</v>
      </c>
      <c r="D535" t="s">
        <v>25</v>
      </c>
      <c r="E535" t="s">
        <v>30</v>
      </c>
      <c r="F535">
        <v>339</v>
      </c>
      <c r="G535">
        <v>246</v>
      </c>
      <c r="H535">
        <v>83394</v>
      </c>
      <c r="I535">
        <v>13095</v>
      </c>
    </row>
    <row r="536" spans="1:9">
      <c r="A536" s="2">
        <v>45444</v>
      </c>
      <c r="B536">
        <v>2024</v>
      </c>
      <c r="C536" t="s">
        <v>14</v>
      </c>
      <c r="D536" t="s">
        <v>25</v>
      </c>
      <c r="E536" t="s">
        <v>31</v>
      </c>
      <c r="F536">
        <v>433</v>
      </c>
      <c r="G536">
        <v>261</v>
      </c>
      <c r="H536">
        <v>113013</v>
      </c>
      <c r="I536">
        <v>20346</v>
      </c>
    </row>
    <row r="537" spans="1:9">
      <c r="A537" s="2">
        <v>45444</v>
      </c>
      <c r="B537">
        <v>2024</v>
      </c>
      <c r="C537" t="s">
        <v>14</v>
      </c>
      <c r="D537" t="s">
        <v>26</v>
      </c>
      <c r="E537" t="s">
        <v>27</v>
      </c>
      <c r="F537">
        <v>396</v>
      </c>
      <c r="G537">
        <v>349</v>
      </c>
      <c r="H537">
        <v>138204</v>
      </c>
      <c r="I537">
        <v>25210</v>
      </c>
    </row>
    <row r="538" spans="1:9">
      <c r="A538" s="2">
        <v>45444</v>
      </c>
      <c r="B538">
        <v>2024</v>
      </c>
      <c r="C538" t="s">
        <v>14</v>
      </c>
      <c r="D538" t="s">
        <v>26</v>
      </c>
      <c r="E538" t="s">
        <v>28</v>
      </c>
      <c r="F538">
        <v>431</v>
      </c>
      <c r="G538">
        <v>377</v>
      </c>
      <c r="H538">
        <v>162487</v>
      </c>
      <c r="I538">
        <v>39537</v>
      </c>
    </row>
    <row r="539" spans="1:9">
      <c r="A539" s="2">
        <v>45444</v>
      </c>
      <c r="B539">
        <v>2024</v>
      </c>
      <c r="C539" t="s">
        <v>14</v>
      </c>
      <c r="D539" t="s">
        <v>26</v>
      </c>
      <c r="E539" t="s">
        <v>29</v>
      </c>
      <c r="F539">
        <v>113</v>
      </c>
      <c r="G539">
        <v>332</v>
      </c>
      <c r="H539">
        <v>37516</v>
      </c>
      <c r="I539">
        <v>3794</v>
      </c>
    </row>
    <row r="540" spans="1:9">
      <c r="A540" s="2">
        <v>45444</v>
      </c>
      <c r="B540">
        <v>2024</v>
      </c>
      <c r="C540" t="s">
        <v>14</v>
      </c>
      <c r="D540" t="s">
        <v>26</v>
      </c>
      <c r="E540" t="s">
        <v>30</v>
      </c>
      <c r="F540">
        <v>432</v>
      </c>
      <c r="G540">
        <v>321</v>
      </c>
      <c r="H540">
        <v>138672</v>
      </c>
      <c r="I540">
        <v>33724</v>
      </c>
    </row>
    <row r="541" spans="1:9">
      <c r="A541" s="2">
        <v>45444</v>
      </c>
      <c r="B541">
        <v>2024</v>
      </c>
      <c r="C541" t="s">
        <v>14</v>
      </c>
      <c r="D541" t="s">
        <v>26</v>
      </c>
      <c r="E541" t="s">
        <v>31</v>
      </c>
      <c r="F541">
        <v>419</v>
      </c>
      <c r="G541">
        <v>396</v>
      </c>
      <c r="H541">
        <v>165924</v>
      </c>
      <c r="I541">
        <v>18092</v>
      </c>
    </row>
    <row r="542" spans="1:9">
      <c r="A542" s="2">
        <v>45474</v>
      </c>
      <c r="B542">
        <v>2024</v>
      </c>
      <c r="C542" t="s">
        <v>15</v>
      </c>
      <c r="D542" t="s">
        <v>21</v>
      </c>
      <c r="E542" t="s">
        <v>27</v>
      </c>
      <c r="F542">
        <v>392</v>
      </c>
      <c r="G542">
        <v>1223</v>
      </c>
      <c r="H542">
        <v>479416</v>
      </c>
      <c r="I542">
        <v>61932</v>
      </c>
    </row>
    <row r="543" spans="1:9">
      <c r="A543" s="2">
        <v>45474</v>
      </c>
      <c r="B543">
        <v>2024</v>
      </c>
      <c r="C543" t="s">
        <v>15</v>
      </c>
      <c r="D543" t="s">
        <v>21</v>
      </c>
      <c r="E543" t="s">
        <v>28</v>
      </c>
      <c r="F543">
        <v>144</v>
      </c>
      <c r="G543">
        <v>1281</v>
      </c>
      <c r="H543">
        <v>184464</v>
      </c>
      <c r="I543">
        <v>44168</v>
      </c>
    </row>
    <row r="544" spans="1:9">
      <c r="A544" s="2">
        <v>45474</v>
      </c>
      <c r="B544">
        <v>2024</v>
      </c>
      <c r="C544" t="s">
        <v>15</v>
      </c>
      <c r="D544" t="s">
        <v>21</v>
      </c>
      <c r="E544" t="s">
        <v>29</v>
      </c>
      <c r="F544">
        <v>259</v>
      </c>
      <c r="G544">
        <v>1241</v>
      </c>
      <c r="H544">
        <v>321419</v>
      </c>
      <c r="I544">
        <v>47150</v>
      </c>
    </row>
    <row r="545" spans="1:9">
      <c r="A545" s="2">
        <v>45474</v>
      </c>
      <c r="B545">
        <v>2024</v>
      </c>
      <c r="C545" t="s">
        <v>15</v>
      </c>
      <c r="D545" t="s">
        <v>21</v>
      </c>
      <c r="E545" t="s">
        <v>30</v>
      </c>
      <c r="F545">
        <v>261</v>
      </c>
      <c r="G545">
        <v>1294</v>
      </c>
      <c r="H545">
        <v>337734</v>
      </c>
      <c r="I545">
        <v>47584</v>
      </c>
    </row>
    <row r="546" spans="1:9">
      <c r="A546" s="2">
        <v>45474</v>
      </c>
      <c r="B546">
        <v>2024</v>
      </c>
      <c r="C546" t="s">
        <v>15</v>
      </c>
      <c r="D546" t="s">
        <v>21</v>
      </c>
      <c r="E546" t="s">
        <v>31</v>
      </c>
      <c r="F546">
        <v>232</v>
      </c>
      <c r="G546">
        <v>1326</v>
      </c>
      <c r="H546">
        <v>307632</v>
      </c>
      <c r="I546">
        <v>54872</v>
      </c>
    </row>
    <row r="547" spans="1:9">
      <c r="A547" s="2">
        <v>45474</v>
      </c>
      <c r="B547">
        <v>2024</v>
      </c>
      <c r="C547" t="s">
        <v>15</v>
      </c>
      <c r="D547" t="s">
        <v>22</v>
      </c>
      <c r="E547" t="s">
        <v>27</v>
      </c>
      <c r="F547">
        <v>377</v>
      </c>
      <c r="G547">
        <v>856</v>
      </c>
      <c r="H547">
        <v>322712</v>
      </c>
      <c r="I547">
        <v>41054</v>
      </c>
    </row>
    <row r="548" spans="1:9">
      <c r="A548" s="2">
        <v>45474</v>
      </c>
      <c r="B548">
        <v>2024</v>
      </c>
      <c r="C548" t="s">
        <v>15</v>
      </c>
      <c r="D548" t="s">
        <v>22</v>
      </c>
      <c r="E548" t="s">
        <v>28</v>
      </c>
      <c r="F548">
        <v>262</v>
      </c>
      <c r="G548">
        <v>861</v>
      </c>
      <c r="H548">
        <v>225582</v>
      </c>
      <c r="I548">
        <v>26174</v>
      </c>
    </row>
    <row r="549" spans="1:9">
      <c r="A549" s="2">
        <v>45474</v>
      </c>
      <c r="B549">
        <v>2024</v>
      </c>
      <c r="C549" t="s">
        <v>15</v>
      </c>
      <c r="D549" t="s">
        <v>22</v>
      </c>
      <c r="E549" t="s">
        <v>29</v>
      </c>
      <c r="F549">
        <v>416</v>
      </c>
      <c r="G549">
        <v>903</v>
      </c>
      <c r="H549">
        <v>375648</v>
      </c>
      <c r="I549">
        <v>61485</v>
      </c>
    </row>
    <row r="550" spans="1:9">
      <c r="A550" s="2">
        <v>45474</v>
      </c>
      <c r="B550">
        <v>2024</v>
      </c>
      <c r="C550" t="s">
        <v>15</v>
      </c>
      <c r="D550" t="s">
        <v>22</v>
      </c>
      <c r="E550" t="s">
        <v>30</v>
      </c>
      <c r="F550">
        <v>377</v>
      </c>
      <c r="G550">
        <v>883</v>
      </c>
      <c r="H550">
        <v>332891</v>
      </c>
      <c r="I550">
        <v>51939</v>
      </c>
    </row>
    <row r="551" spans="1:9">
      <c r="A551" s="2">
        <v>45474</v>
      </c>
      <c r="B551">
        <v>2024</v>
      </c>
      <c r="C551" t="s">
        <v>15</v>
      </c>
      <c r="D551" t="s">
        <v>22</v>
      </c>
      <c r="E551" t="s">
        <v>31</v>
      </c>
      <c r="F551">
        <v>278</v>
      </c>
      <c r="G551">
        <v>846</v>
      </c>
      <c r="H551">
        <v>235188</v>
      </c>
      <c r="I551">
        <v>57082</v>
      </c>
    </row>
    <row r="552" spans="1:9">
      <c r="A552" s="2">
        <v>45474</v>
      </c>
      <c r="B552">
        <v>2024</v>
      </c>
      <c r="C552" t="s">
        <v>15</v>
      </c>
      <c r="D552" t="s">
        <v>23</v>
      </c>
      <c r="E552" t="s">
        <v>27</v>
      </c>
      <c r="F552">
        <v>217</v>
      </c>
      <c r="G552">
        <v>123</v>
      </c>
      <c r="H552">
        <v>26691</v>
      </c>
      <c r="I552">
        <v>5045</v>
      </c>
    </row>
    <row r="553" spans="1:9">
      <c r="A553" s="2">
        <v>45474</v>
      </c>
      <c r="B553">
        <v>2024</v>
      </c>
      <c r="C553" t="s">
        <v>15</v>
      </c>
      <c r="D553" t="s">
        <v>23</v>
      </c>
      <c r="E553" t="s">
        <v>28</v>
      </c>
      <c r="F553">
        <v>115</v>
      </c>
      <c r="G553">
        <v>114</v>
      </c>
      <c r="H553">
        <v>13110</v>
      </c>
      <c r="I553">
        <v>2512</v>
      </c>
    </row>
    <row r="554" spans="1:9">
      <c r="A554" s="2">
        <v>45474</v>
      </c>
      <c r="B554">
        <v>2024</v>
      </c>
      <c r="C554" t="s">
        <v>15</v>
      </c>
      <c r="D554" t="s">
        <v>23</v>
      </c>
      <c r="E554" t="s">
        <v>29</v>
      </c>
      <c r="F554">
        <v>220</v>
      </c>
      <c r="G554">
        <v>133</v>
      </c>
      <c r="H554">
        <v>29260</v>
      </c>
      <c r="I554">
        <v>6876</v>
      </c>
    </row>
    <row r="555" spans="1:9">
      <c r="A555" s="2">
        <v>45474</v>
      </c>
      <c r="B555">
        <v>2024</v>
      </c>
      <c r="C555" t="s">
        <v>15</v>
      </c>
      <c r="D555" t="s">
        <v>23</v>
      </c>
      <c r="E555" t="s">
        <v>30</v>
      </c>
      <c r="F555">
        <v>316</v>
      </c>
      <c r="G555">
        <v>124</v>
      </c>
      <c r="H555">
        <v>39184</v>
      </c>
      <c r="I555">
        <v>5420</v>
      </c>
    </row>
    <row r="556" spans="1:9">
      <c r="A556" s="2">
        <v>45474</v>
      </c>
      <c r="B556">
        <v>2024</v>
      </c>
      <c r="C556" t="s">
        <v>15</v>
      </c>
      <c r="D556" t="s">
        <v>23</v>
      </c>
      <c r="E556" t="s">
        <v>31</v>
      </c>
      <c r="F556">
        <v>162</v>
      </c>
      <c r="G556">
        <v>116</v>
      </c>
      <c r="H556">
        <v>18792</v>
      </c>
      <c r="I556">
        <v>4197</v>
      </c>
    </row>
    <row r="557" spans="1:9">
      <c r="A557" s="2">
        <v>45474</v>
      </c>
      <c r="B557">
        <v>2024</v>
      </c>
      <c r="C557" t="s">
        <v>15</v>
      </c>
      <c r="D557" t="s">
        <v>24</v>
      </c>
      <c r="E557" t="s">
        <v>27</v>
      </c>
      <c r="F557">
        <v>153</v>
      </c>
      <c r="G557">
        <v>640</v>
      </c>
      <c r="H557">
        <v>97920</v>
      </c>
      <c r="I557">
        <v>21682</v>
      </c>
    </row>
    <row r="558" spans="1:9">
      <c r="A558" s="2">
        <v>45474</v>
      </c>
      <c r="B558">
        <v>2024</v>
      </c>
      <c r="C558" t="s">
        <v>15</v>
      </c>
      <c r="D558" t="s">
        <v>24</v>
      </c>
      <c r="E558" t="s">
        <v>28</v>
      </c>
      <c r="F558">
        <v>268</v>
      </c>
      <c r="G558">
        <v>562</v>
      </c>
      <c r="H558">
        <v>150616</v>
      </c>
      <c r="I558">
        <v>24639</v>
      </c>
    </row>
    <row r="559" spans="1:9">
      <c r="A559" s="2">
        <v>45474</v>
      </c>
      <c r="B559">
        <v>2024</v>
      </c>
      <c r="C559" t="s">
        <v>15</v>
      </c>
      <c r="D559" t="s">
        <v>24</v>
      </c>
      <c r="E559" t="s">
        <v>29</v>
      </c>
      <c r="F559">
        <v>163</v>
      </c>
      <c r="G559">
        <v>565</v>
      </c>
      <c r="H559">
        <v>92095</v>
      </c>
      <c r="I559">
        <v>19388</v>
      </c>
    </row>
    <row r="560" spans="1:9">
      <c r="A560" s="2">
        <v>45474</v>
      </c>
      <c r="B560">
        <v>2024</v>
      </c>
      <c r="C560" t="s">
        <v>15</v>
      </c>
      <c r="D560" t="s">
        <v>24</v>
      </c>
      <c r="E560" t="s">
        <v>30</v>
      </c>
      <c r="F560">
        <v>336</v>
      </c>
      <c r="G560">
        <v>610</v>
      </c>
      <c r="H560">
        <v>204960</v>
      </c>
      <c r="I560">
        <v>36955</v>
      </c>
    </row>
    <row r="561" spans="1:9">
      <c r="A561" s="2">
        <v>45474</v>
      </c>
      <c r="B561">
        <v>2024</v>
      </c>
      <c r="C561" t="s">
        <v>15</v>
      </c>
      <c r="D561" t="s">
        <v>24</v>
      </c>
      <c r="E561" t="s">
        <v>31</v>
      </c>
      <c r="F561">
        <v>252</v>
      </c>
      <c r="G561">
        <v>543</v>
      </c>
      <c r="H561">
        <v>136836</v>
      </c>
      <c r="I561">
        <v>26860</v>
      </c>
    </row>
    <row r="562" spans="1:9">
      <c r="A562" s="2">
        <v>45474</v>
      </c>
      <c r="B562">
        <v>2024</v>
      </c>
      <c r="C562" t="s">
        <v>15</v>
      </c>
      <c r="D562" t="s">
        <v>25</v>
      </c>
      <c r="E562" t="s">
        <v>27</v>
      </c>
      <c r="F562">
        <v>263</v>
      </c>
      <c r="G562">
        <v>264</v>
      </c>
      <c r="H562">
        <v>69432</v>
      </c>
      <c r="I562">
        <v>9618</v>
      </c>
    </row>
    <row r="563" spans="1:9">
      <c r="A563" s="2">
        <v>45474</v>
      </c>
      <c r="B563">
        <v>2024</v>
      </c>
      <c r="C563" t="s">
        <v>15</v>
      </c>
      <c r="D563" t="s">
        <v>25</v>
      </c>
      <c r="E563" t="s">
        <v>28</v>
      </c>
      <c r="F563">
        <v>172</v>
      </c>
      <c r="G563">
        <v>262</v>
      </c>
      <c r="H563">
        <v>45064</v>
      </c>
      <c r="I563">
        <v>7864</v>
      </c>
    </row>
    <row r="564" spans="1:9">
      <c r="A564" s="2">
        <v>45474</v>
      </c>
      <c r="B564">
        <v>2024</v>
      </c>
      <c r="C564" t="s">
        <v>15</v>
      </c>
      <c r="D564" t="s">
        <v>25</v>
      </c>
      <c r="E564" t="s">
        <v>29</v>
      </c>
      <c r="F564">
        <v>371</v>
      </c>
      <c r="G564">
        <v>242</v>
      </c>
      <c r="H564">
        <v>89782</v>
      </c>
      <c r="I564">
        <v>17018</v>
      </c>
    </row>
    <row r="565" spans="1:9">
      <c r="A565" s="2">
        <v>45474</v>
      </c>
      <c r="B565">
        <v>2024</v>
      </c>
      <c r="C565" t="s">
        <v>15</v>
      </c>
      <c r="D565" t="s">
        <v>25</v>
      </c>
      <c r="E565" t="s">
        <v>30</v>
      </c>
      <c r="F565">
        <v>248</v>
      </c>
      <c r="G565">
        <v>250</v>
      </c>
      <c r="H565">
        <v>62000</v>
      </c>
      <c r="I565">
        <v>10182</v>
      </c>
    </row>
    <row r="566" spans="1:9">
      <c r="A566" s="2">
        <v>45474</v>
      </c>
      <c r="B566">
        <v>2024</v>
      </c>
      <c r="C566" t="s">
        <v>15</v>
      </c>
      <c r="D566" t="s">
        <v>25</v>
      </c>
      <c r="E566" t="s">
        <v>31</v>
      </c>
      <c r="F566">
        <v>271</v>
      </c>
      <c r="G566">
        <v>270</v>
      </c>
      <c r="H566">
        <v>73170</v>
      </c>
      <c r="I566">
        <v>7490</v>
      </c>
    </row>
    <row r="567" spans="1:9">
      <c r="A567" s="2">
        <v>45474</v>
      </c>
      <c r="B567">
        <v>2024</v>
      </c>
      <c r="C567" t="s">
        <v>15</v>
      </c>
      <c r="D567" t="s">
        <v>26</v>
      </c>
      <c r="E567" t="s">
        <v>27</v>
      </c>
      <c r="F567">
        <v>396</v>
      </c>
      <c r="G567">
        <v>326</v>
      </c>
      <c r="H567">
        <v>129096</v>
      </c>
      <c r="I567">
        <v>14925</v>
      </c>
    </row>
    <row r="568" spans="1:9">
      <c r="A568" s="2">
        <v>45474</v>
      </c>
      <c r="B568">
        <v>2024</v>
      </c>
      <c r="C568" t="s">
        <v>15</v>
      </c>
      <c r="D568" t="s">
        <v>26</v>
      </c>
      <c r="E568" t="s">
        <v>28</v>
      </c>
      <c r="F568">
        <v>327</v>
      </c>
      <c r="G568">
        <v>344</v>
      </c>
      <c r="H568">
        <v>112488</v>
      </c>
      <c r="I568">
        <v>26527</v>
      </c>
    </row>
    <row r="569" spans="1:9">
      <c r="A569" s="2">
        <v>45474</v>
      </c>
      <c r="B569">
        <v>2024</v>
      </c>
      <c r="C569" t="s">
        <v>15</v>
      </c>
      <c r="D569" t="s">
        <v>26</v>
      </c>
      <c r="E569" t="s">
        <v>29</v>
      </c>
      <c r="F569">
        <v>207</v>
      </c>
      <c r="G569">
        <v>321</v>
      </c>
      <c r="H569">
        <v>66447</v>
      </c>
      <c r="I569">
        <v>7498</v>
      </c>
    </row>
    <row r="570" spans="1:9">
      <c r="A570" s="2">
        <v>45474</v>
      </c>
      <c r="B570">
        <v>2024</v>
      </c>
      <c r="C570" t="s">
        <v>15</v>
      </c>
      <c r="D570" t="s">
        <v>26</v>
      </c>
      <c r="E570" t="s">
        <v>30</v>
      </c>
      <c r="F570">
        <v>268</v>
      </c>
      <c r="G570">
        <v>331</v>
      </c>
      <c r="H570">
        <v>88708</v>
      </c>
      <c r="I570">
        <v>13173</v>
      </c>
    </row>
    <row r="571" spans="1:9">
      <c r="A571" s="2">
        <v>45474</v>
      </c>
      <c r="B571">
        <v>2024</v>
      </c>
      <c r="C571" t="s">
        <v>15</v>
      </c>
      <c r="D571" t="s">
        <v>26</v>
      </c>
      <c r="E571" t="s">
        <v>31</v>
      </c>
      <c r="F571">
        <v>164</v>
      </c>
      <c r="G571">
        <v>346</v>
      </c>
      <c r="H571">
        <v>56744</v>
      </c>
      <c r="I571">
        <v>6265</v>
      </c>
    </row>
    <row r="572" spans="1:9">
      <c r="A572" s="2">
        <v>45505</v>
      </c>
      <c r="B572">
        <v>2024</v>
      </c>
      <c r="C572" t="s">
        <v>16</v>
      </c>
      <c r="D572" t="s">
        <v>21</v>
      </c>
      <c r="E572" t="s">
        <v>27</v>
      </c>
      <c r="F572">
        <v>138</v>
      </c>
      <c r="G572">
        <v>1329</v>
      </c>
      <c r="H572">
        <v>183402</v>
      </c>
      <c r="I572">
        <v>36761</v>
      </c>
    </row>
    <row r="573" spans="1:9">
      <c r="A573" s="2">
        <v>45505</v>
      </c>
      <c r="B573">
        <v>2024</v>
      </c>
      <c r="C573" t="s">
        <v>16</v>
      </c>
      <c r="D573" t="s">
        <v>21</v>
      </c>
      <c r="E573" t="s">
        <v>28</v>
      </c>
      <c r="F573">
        <v>114</v>
      </c>
      <c r="G573">
        <v>1272</v>
      </c>
      <c r="H573">
        <v>145008</v>
      </c>
      <c r="I573">
        <v>20398</v>
      </c>
    </row>
    <row r="574" spans="1:9">
      <c r="A574" s="2">
        <v>45505</v>
      </c>
      <c r="B574">
        <v>2024</v>
      </c>
      <c r="C574" t="s">
        <v>16</v>
      </c>
      <c r="D574" t="s">
        <v>21</v>
      </c>
      <c r="E574" t="s">
        <v>29</v>
      </c>
      <c r="F574">
        <v>302</v>
      </c>
      <c r="G574">
        <v>1275</v>
      </c>
      <c r="H574">
        <v>385050</v>
      </c>
      <c r="I574">
        <v>69287</v>
      </c>
    </row>
    <row r="575" spans="1:9">
      <c r="A575" s="2">
        <v>45505</v>
      </c>
      <c r="B575">
        <v>2024</v>
      </c>
      <c r="C575" t="s">
        <v>16</v>
      </c>
      <c r="D575" t="s">
        <v>21</v>
      </c>
      <c r="E575" t="s">
        <v>30</v>
      </c>
      <c r="F575">
        <v>148</v>
      </c>
      <c r="G575">
        <v>1179</v>
      </c>
      <c r="H575">
        <v>174492</v>
      </c>
      <c r="I575">
        <v>34972</v>
      </c>
    </row>
    <row r="576" spans="1:9">
      <c r="A576" s="2">
        <v>45505</v>
      </c>
      <c r="B576">
        <v>2024</v>
      </c>
      <c r="C576" t="s">
        <v>16</v>
      </c>
      <c r="D576" t="s">
        <v>21</v>
      </c>
      <c r="E576" t="s">
        <v>31</v>
      </c>
      <c r="F576">
        <v>318</v>
      </c>
      <c r="G576">
        <v>1193</v>
      </c>
      <c r="H576">
        <v>379374</v>
      </c>
      <c r="I576">
        <v>58591</v>
      </c>
    </row>
    <row r="577" spans="1:9">
      <c r="A577" s="2">
        <v>45505</v>
      </c>
      <c r="B577">
        <v>2024</v>
      </c>
      <c r="C577" t="s">
        <v>16</v>
      </c>
      <c r="D577" t="s">
        <v>22</v>
      </c>
      <c r="E577" t="s">
        <v>27</v>
      </c>
      <c r="F577">
        <v>400</v>
      </c>
      <c r="G577">
        <v>866</v>
      </c>
      <c r="H577">
        <v>346400</v>
      </c>
      <c r="I577">
        <v>58812</v>
      </c>
    </row>
    <row r="578" spans="1:9">
      <c r="A578" s="2">
        <v>45505</v>
      </c>
      <c r="B578">
        <v>2024</v>
      </c>
      <c r="C578" t="s">
        <v>16</v>
      </c>
      <c r="D578" t="s">
        <v>22</v>
      </c>
      <c r="E578" t="s">
        <v>28</v>
      </c>
      <c r="F578">
        <v>371</v>
      </c>
      <c r="G578">
        <v>836</v>
      </c>
      <c r="H578">
        <v>310156</v>
      </c>
      <c r="I578">
        <v>35145</v>
      </c>
    </row>
    <row r="579" spans="1:9">
      <c r="A579" s="2">
        <v>45505</v>
      </c>
      <c r="B579">
        <v>2024</v>
      </c>
      <c r="C579" t="s">
        <v>16</v>
      </c>
      <c r="D579" t="s">
        <v>22</v>
      </c>
      <c r="E579" t="s">
        <v>29</v>
      </c>
      <c r="F579">
        <v>396</v>
      </c>
      <c r="G579">
        <v>870</v>
      </c>
      <c r="H579">
        <v>344520</v>
      </c>
      <c r="I579">
        <v>43261</v>
      </c>
    </row>
    <row r="580" spans="1:9">
      <c r="A580" s="2">
        <v>45505</v>
      </c>
      <c r="B580">
        <v>2024</v>
      </c>
      <c r="C580" t="s">
        <v>16</v>
      </c>
      <c r="D580" t="s">
        <v>22</v>
      </c>
      <c r="E580" t="s">
        <v>30</v>
      </c>
      <c r="F580">
        <v>200</v>
      </c>
      <c r="G580">
        <v>739</v>
      </c>
      <c r="H580">
        <v>147800</v>
      </c>
      <c r="I580">
        <v>24764</v>
      </c>
    </row>
    <row r="581" spans="1:9">
      <c r="A581" s="2">
        <v>45505</v>
      </c>
      <c r="B581">
        <v>2024</v>
      </c>
      <c r="C581" t="s">
        <v>16</v>
      </c>
      <c r="D581" t="s">
        <v>22</v>
      </c>
      <c r="E581" t="s">
        <v>31</v>
      </c>
      <c r="F581">
        <v>98</v>
      </c>
      <c r="G581">
        <v>789</v>
      </c>
      <c r="H581">
        <v>77322</v>
      </c>
      <c r="I581">
        <v>15444</v>
      </c>
    </row>
    <row r="582" spans="1:9">
      <c r="A582" s="2">
        <v>45505</v>
      </c>
      <c r="B582">
        <v>2024</v>
      </c>
      <c r="C582" t="s">
        <v>16</v>
      </c>
      <c r="D582" t="s">
        <v>23</v>
      </c>
      <c r="E582" t="s">
        <v>27</v>
      </c>
      <c r="F582">
        <v>88</v>
      </c>
      <c r="G582">
        <v>135</v>
      </c>
      <c r="H582">
        <v>11880</v>
      </c>
      <c r="I582">
        <v>1606</v>
      </c>
    </row>
    <row r="583" spans="1:9">
      <c r="A583" s="2">
        <v>45505</v>
      </c>
      <c r="B583">
        <v>2024</v>
      </c>
      <c r="C583" t="s">
        <v>16</v>
      </c>
      <c r="D583" t="s">
        <v>23</v>
      </c>
      <c r="E583" t="s">
        <v>28</v>
      </c>
      <c r="F583">
        <v>210</v>
      </c>
      <c r="G583">
        <v>112</v>
      </c>
      <c r="H583">
        <v>23520</v>
      </c>
      <c r="I583">
        <v>5853</v>
      </c>
    </row>
    <row r="584" spans="1:9">
      <c r="A584" s="2">
        <v>45505</v>
      </c>
      <c r="B584">
        <v>2024</v>
      </c>
      <c r="C584" t="s">
        <v>16</v>
      </c>
      <c r="D584" t="s">
        <v>23</v>
      </c>
      <c r="E584" t="s">
        <v>29</v>
      </c>
      <c r="F584">
        <v>354</v>
      </c>
      <c r="G584">
        <v>124</v>
      </c>
      <c r="H584">
        <v>43896</v>
      </c>
      <c r="I584">
        <v>9933</v>
      </c>
    </row>
    <row r="585" spans="1:9">
      <c r="A585" s="2">
        <v>45505</v>
      </c>
      <c r="B585">
        <v>2024</v>
      </c>
      <c r="C585" t="s">
        <v>16</v>
      </c>
      <c r="D585" t="s">
        <v>23</v>
      </c>
      <c r="E585" t="s">
        <v>30</v>
      </c>
      <c r="F585">
        <v>246</v>
      </c>
      <c r="G585">
        <v>110</v>
      </c>
      <c r="H585">
        <v>27060</v>
      </c>
      <c r="I585">
        <v>3749</v>
      </c>
    </row>
    <row r="586" spans="1:9">
      <c r="A586" s="2">
        <v>45505</v>
      </c>
      <c r="B586">
        <v>2024</v>
      </c>
      <c r="C586" t="s">
        <v>16</v>
      </c>
      <c r="D586" t="s">
        <v>23</v>
      </c>
      <c r="E586" t="s">
        <v>31</v>
      </c>
      <c r="F586">
        <v>335</v>
      </c>
      <c r="G586">
        <v>133</v>
      </c>
      <c r="H586">
        <v>44555</v>
      </c>
      <c r="I586">
        <v>8522</v>
      </c>
    </row>
    <row r="587" spans="1:9">
      <c r="A587" s="2">
        <v>45505</v>
      </c>
      <c r="B587">
        <v>2024</v>
      </c>
      <c r="C587" t="s">
        <v>16</v>
      </c>
      <c r="D587" t="s">
        <v>24</v>
      </c>
      <c r="E587" t="s">
        <v>27</v>
      </c>
      <c r="F587">
        <v>126</v>
      </c>
      <c r="G587">
        <v>563</v>
      </c>
      <c r="H587">
        <v>70938</v>
      </c>
      <c r="I587">
        <v>7765</v>
      </c>
    </row>
    <row r="588" spans="1:9">
      <c r="A588" s="2">
        <v>45505</v>
      </c>
      <c r="B588">
        <v>2024</v>
      </c>
      <c r="C588" t="s">
        <v>16</v>
      </c>
      <c r="D588" t="s">
        <v>24</v>
      </c>
      <c r="E588" t="s">
        <v>28</v>
      </c>
      <c r="F588">
        <v>401</v>
      </c>
      <c r="G588">
        <v>585</v>
      </c>
      <c r="H588">
        <v>234585</v>
      </c>
      <c r="I588">
        <v>32716</v>
      </c>
    </row>
    <row r="589" spans="1:9">
      <c r="A589" s="2">
        <v>45505</v>
      </c>
      <c r="B589">
        <v>2024</v>
      </c>
      <c r="C589" t="s">
        <v>16</v>
      </c>
      <c r="D589" t="s">
        <v>24</v>
      </c>
      <c r="E589" t="s">
        <v>29</v>
      </c>
      <c r="F589">
        <v>157</v>
      </c>
      <c r="G589">
        <v>597</v>
      </c>
      <c r="H589">
        <v>93729</v>
      </c>
      <c r="I589">
        <v>14241</v>
      </c>
    </row>
    <row r="590" spans="1:9">
      <c r="A590" s="2">
        <v>45505</v>
      </c>
      <c r="B590">
        <v>2024</v>
      </c>
      <c r="C590" t="s">
        <v>16</v>
      </c>
      <c r="D590" t="s">
        <v>24</v>
      </c>
      <c r="E590" t="s">
        <v>30</v>
      </c>
      <c r="F590">
        <v>355</v>
      </c>
      <c r="G590">
        <v>623</v>
      </c>
      <c r="H590">
        <v>221165</v>
      </c>
      <c r="I590">
        <v>32252</v>
      </c>
    </row>
    <row r="591" spans="1:9">
      <c r="A591" s="2">
        <v>45505</v>
      </c>
      <c r="B591">
        <v>2024</v>
      </c>
      <c r="C591" t="s">
        <v>16</v>
      </c>
      <c r="D591" t="s">
        <v>24</v>
      </c>
      <c r="E591" t="s">
        <v>31</v>
      </c>
      <c r="F591">
        <v>280</v>
      </c>
      <c r="G591">
        <v>581</v>
      </c>
      <c r="H591">
        <v>162680</v>
      </c>
      <c r="I591">
        <v>39264</v>
      </c>
    </row>
    <row r="592" spans="1:9">
      <c r="A592" s="2">
        <v>45505</v>
      </c>
      <c r="B592">
        <v>2024</v>
      </c>
      <c r="C592" t="s">
        <v>16</v>
      </c>
      <c r="D592" t="s">
        <v>25</v>
      </c>
      <c r="E592" t="s">
        <v>27</v>
      </c>
      <c r="F592">
        <v>422</v>
      </c>
      <c r="G592">
        <v>235</v>
      </c>
      <c r="H592">
        <v>99170</v>
      </c>
      <c r="I592">
        <v>21613</v>
      </c>
    </row>
    <row r="593" spans="1:9">
      <c r="A593" s="2">
        <v>45505</v>
      </c>
      <c r="B593">
        <v>2024</v>
      </c>
      <c r="C593" t="s">
        <v>16</v>
      </c>
      <c r="D593" t="s">
        <v>25</v>
      </c>
      <c r="E593" t="s">
        <v>28</v>
      </c>
      <c r="F593">
        <v>240</v>
      </c>
      <c r="G593">
        <v>287</v>
      </c>
      <c r="H593">
        <v>68880</v>
      </c>
      <c r="I593">
        <v>15684</v>
      </c>
    </row>
    <row r="594" spans="1:9">
      <c r="A594" s="2">
        <v>45505</v>
      </c>
      <c r="B594">
        <v>2024</v>
      </c>
      <c r="C594" t="s">
        <v>16</v>
      </c>
      <c r="D594" t="s">
        <v>25</v>
      </c>
      <c r="E594" t="s">
        <v>29</v>
      </c>
      <c r="F594">
        <v>98</v>
      </c>
      <c r="G594">
        <v>283</v>
      </c>
      <c r="H594">
        <v>27734</v>
      </c>
      <c r="I594">
        <v>3257</v>
      </c>
    </row>
    <row r="595" spans="1:9">
      <c r="A595" s="2">
        <v>45505</v>
      </c>
      <c r="B595">
        <v>2024</v>
      </c>
      <c r="C595" t="s">
        <v>16</v>
      </c>
      <c r="D595" t="s">
        <v>25</v>
      </c>
      <c r="E595" t="s">
        <v>30</v>
      </c>
      <c r="F595">
        <v>174</v>
      </c>
      <c r="G595">
        <v>264</v>
      </c>
      <c r="H595">
        <v>45936</v>
      </c>
      <c r="I595">
        <v>9239</v>
      </c>
    </row>
    <row r="596" spans="1:9">
      <c r="A596" s="2">
        <v>45505</v>
      </c>
      <c r="B596">
        <v>2024</v>
      </c>
      <c r="C596" t="s">
        <v>16</v>
      </c>
      <c r="D596" t="s">
        <v>25</v>
      </c>
      <c r="E596" t="s">
        <v>31</v>
      </c>
      <c r="F596">
        <v>256</v>
      </c>
      <c r="G596">
        <v>270</v>
      </c>
      <c r="H596">
        <v>69120</v>
      </c>
      <c r="I596">
        <v>8376</v>
      </c>
    </row>
    <row r="597" spans="1:9">
      <c r="A597" s="2">
        <v>45505</v>
      </c>
      <c r="B597">
        <v>2024</v>
      </c>
      <c r="C597" t="s">
        <v>16</v>
      </c>
      <c r="D597" t="s">
        <v>26</v>
      </c>
      <c r="E597" t="s">
        <v>27</v>
      </c>
      <c r="F597">
        <v>93</v>
      </c>
      <c r="G597">
        <v>341</v>
      </c>
      <c r="H597">
        <v>31713</v>
      </c>
      <c r="I597">
        <v>3556</v>
      </c>
    </row>
    <row r="598" spans="1:9">
      <c r="A598" s="2">
        <v>45505</v>
      </c>
      <c r="B598">
        <v>2024</v>
      </c>
      <c r="C598" t="s">
        <v>16</v>
      </c>
      <c r="D598" t="s">
        <v>26</v>
      </c>
      <c r="E598" t="s">
        <v>28</v>
      </c>
      <c r="F598">
        <v>262</v>
      </c>
      <c r="G598">
        <v>330</v>
      </c>
      <c r="H598">
        <v>86460</v>
      </c>
      <c r="I598">
        <v>17658</v>
      </c>
    </row>
    <row r="599" spans="1:9">
      <c r="A599" s="2">
        <v>45505</v>
      </c>
      <c r="B599">
        <v>2024</v>
      </c>
      <c r="C599" t="s">
        <v>16</v>
      </c>
      <c r="D599" t="s">
        <v>26</v>
      </c>
      <c r="E599" t="s">
        <v>29</v>
      </c>
      <c r="F599">
        <v>308</v>
      </c>
      <c r="G599">
        <v>400</v>
      </c>
      <c r="H599">
        <v>123200</v>
      </c>
      <c r="I599">
        <v>24165</v>
      </c>
    </row>
    <row r="600" spans="1:9">
      <c r="A600" s="2">
        <v>45505</v>
      </c>
      <c r="B600">
        <v>2024</v>
      </c>
      <c r="C600" t="s">
        <v>16</v>
      </c>
      <c r="D600" t="s">
        <v>26</v>
      </c>
      <c r="E600" t="s">
        <v>30</v>
      </c>
      <c r="F600">
        <v>112</v>
      </c>
      <c r="G600">
        <v>365</v>
      </c>
      <c r="H600">
        <v>40880</v>
      </c>
      <c r="I600">
        <v>7027</v>
      </c>
    </row>
    <row r="601" spans="1:9">
      <c r="A601" s="2">
        <v>45505</v>
      </c>
      <c r="B601">
        <v>2024</v>
      </c>
      <c r="C601" t="s">
        <v>16</v>
      </c>
      <c r="D601" t="s">
        <v>26</v>
      </c>
      <c r="E601" t="s">
        <v>31</v>
      </c>
      <c r="F601">
        <v>398</v>
      </c>
      <c r="G601">
        <v>395</v>
      </c>
      <c r="H601">
        <v>157210</v>
      </c>
      <c r="I601">
        <v>27206</v>
      </c>
    </row>
    <row r="602" spans="1:9">
      <c r="A602" s="2">
        <v>45536</v>
      </c>
      <c r="B602">
        <v>2024</v>
      </c>
      <c r="C602" t="s">
        <v>17</v>
      </c>
      <c r="D602" t="s">
        <v>21</v>
      </c>
      <c r="E602" t="s">
        <v>27</v>
      </c>
      <c r="F602">
        <v>203</v>
      </c>
      <c r="G602">
        <v>1349</v>
      </c>
      <c r="H602">
        <v>273847</v>
      </c>
      <c r="I602">
        <v>61451</v>
      </c>
    </row>
    <row r="603" spans="1:9">
      <c r="A603" s="2">
        <v>45536</v>
      </c>
      <c r="B603">
        <v>2024</v>
      </c>
      <c r="C603" t="s">
        <v>17</v>
      </c>
      <c r="D603" t="s">
        <v>21</v>
      </c>
      <c r="E603" t="s">
        <v>28</v>
      </c>
      <c r="F603">
        <v>111</v>
      </c>
      <c r="G603">
        <v>1279</v>
      </c>
      <c r="H603">
        <v>141969</v>
      </c>
      <c r="I603">
        <v>16789</v>
      </c>
    </row>
    <row r="604" spans="1:9">
      <c r="A604" s="2">
        <v>45536</v>
      </c>
      <c r="B604">
        <v>2024</v>
      </c>
      <c r="C604" t="s">
        <v>17</v>
      </c>
      <c r="D604" t="s">
        <v>21</v>
      </c>
      <c r="E604" t="s">
        <v>29</v>
      </c>
      <c r="F604">
        <v>111</v>
      </c>
      <c r="G604">
        <v>1149</v>
      </c>
      <c r="H604">
        <v>127539</v>
      </c>
      <c r="I604">
        <v>14283</v>
      </c>
    </row>
    <row r="605" spans="1:9">
      <c r="A605" s="2">
        <v>45536</v>
      </c>
      <c r="B605">
        <v>2024</v>
      </c>
      <c r="C605" t="s">
        <v>17</v>
      </c>
      <c r="D605" t="s">
        <v>21</v>
      </c>
      <c r="E605" t="s">
        <v>30</v>
      </c>
      <c r="F605">
        <v>97</v>
      </c>
      <c r="G605">
        <v>1369</v>
      </c>
      <c r="H605">
        <v>132793</v>
      </c>
      <c r="I605">
        <v>21894</v>
      </c>
    </row>
    <row r="606" spans="1:9">
      <c r="A606" s="2">
        <v>45536</v>
      </c>
      <c r="B606">
        <v>2024</v>
      </c>
      <c r="C606" t="s">
        <v>17</v>
      </c>
      <c r="D606" t="s">
        <v>21</v>
      </c>
      <c r="E606" t="s">
        <v>31</v>
      </c>
      <c r="F606">
        <v>236</v>
      </c>
      <c r="G606">
        <v>1360</v>
      </c>
      <c r="H606">
        <v>320960</v>
      </c>
      <c r="I606">
        <v>74275</v>
      </c>
    </row>
    <row r="607" spans="1:9">
      <c r="A607" s="2">
        <v>45536</v>
      </c>
      <c r="B607">
        <v>2024</v>
      </c>
      <c r="C607" t="s">
        <v>17</v>
      </c>
      <c r="D607" t="s">
        <v>22</v>
      </c>
      <c r="E607" t="s">
        <v>27</v>
      </c>
      <c r="F607">
        <v>424</v>
      </c>
      <c r="G607">
        <v>890</v>
      </c>
      <c r="H607">
        <v>377360</v>
      </c>
      <c r="I607">
        <v>37754</v>
      </c>
    </row>
    <row r="608" spans="1:9">
      <c r="A608" s="2">
        <v>45536</v>
      </c>
      <c r="B608">
        <v>2024</v>
      </c>
      <c r="C608" t="s">
        <v>17</v>
      </c>
      <c r="D608" t="s">
        <v>22</v>
      </c>
      <c r="E608" t="s">
        <v>28</v>
      </c>
      <c r="F608">
        <v>131</v>
      </c>
      <c r="G608">
        <v>843</v>
      </c>
      <c r="H608">
        <v>110433</v>
      </c>
      <c r="I608">
        <v>21813</v>
      </c>
    </row>
    <row r="609" spans="1:9">
      <c r="A609" s="2">
        <v>45536</v>
      </c>
      <c r="B609">
        <v>2024</v>
      </c>
      <c r="C609" t="s">
        <v>17</v>
      </c>
      <c r="D609" t="s">
        <v>22</v>
      </c>
      <c r="E609" t="s">
        <v>29</v>
      </c>
      <c r="F609">
        <v>393</v>
      </c>
      <c r="G609">
        <v>732</v>
      </c>
      <c r="H609">
        <v>287676</v>
      </c>
      <c r="I609">
        <v>62458</v>
      </c>
    </row>
    <row r="610" spans="1:9">
      <c r="A610" s="2">
        <v>45536</v>
      </c>
      <c r="B610">
        <v>2024</v>
      </c>
      <c r="C610" t="s">
        <v>17</v>
      </c>
      <c r="D610" t="s">
        <v>22</v>
      </c>
      <c r="E610" t="s">
        <v>30</v>
      </c>
      <c r="F610">
        <v>370</v>
      </c>
      <c r="G610">
        <v>762</v>
      </c>
      <c r="H610">
        <v>281940</v>
      </c>
      <c r="I610">
        <v>48688</v>
      </c>
    </row>
    <row r="611" spans="1:9">
      <c r="A611" s="2">
        <v>45536</v>
      </c>
      <c r="B611">
        <v>2024</v>
      </c>
      <c r="C611" t="s">
        <v>17</v>
      </c>
      <c r="D611" t="s">
        <v>22</v>
      </c>
      <c r="E611" t="s">
        <v>31</v>
      </c>
      <c r="F611">
        <v>276</v>
      </c>
      <c r="G611">
        <v>731</v>
      </c>
      <c r="H611">
        <v>201756</v>
      </c>
      <c r="I611">
        <v>41209</v>
      </c>
    </row>
    <row r="612" spans="1:9">
      <c r="A612" s="2">
        <v>45536</v>
      </c>
      <c r="B612">
        <v>2024</v>
      </c>
      <c r="C612" t="s">
        <v>17</v>
      </c>
      <c r="D612" t="s">
        <v>23</v>
      </c>
      <c r="E612" t="s">
        <v>27</v>
      </c>
      <c r="F612">
        <v>174</v>
      </c>
      <c r="G612">
        <v>113</v>
      </c>
      <c r="H612">
        <v>19662</v>
      </c>
      <c r="I612">
        <v>2186</v>
      </c>
    </row>
    <row r="613" spans="1:9">
      <c r="A613" s="2">
        <v>45536</v>
      </c>
      <c r="B613">
        <v>2024</v>
      </c>
      <c r="C613" t="s">
        <v>17</v>
      </c>
      <c r="D613" t="s">
        <v>23</v>
      </c>
      <c r="E613" t="s">
        <v>28</v>
      </c>
      <c r="F613">
        <v>252</v>
      </c>
      <c r="G613">
        <v>117</v>
      </c>
      <c r="H613">
        <v>29484</v>
      </c>
      <c r="I613">
        <v>3395</v>
      </c>
    </row>
    <row r="614" spans="1:9">
      <c r="A614" s="2">
        <v>45536</v>
      </c>
      <c r="B614">
        <v>2024</v>
      </c>
      <c r="C614" t="s">
        <v>17</v>
      </c>
      <c r="D614" t="s">
        <v>23</v>
      </c>
      <c r="E614" t="s">
        <v>29</v>
      </c>
      <c r="F614">
        <v>170</v>
      </c>
      <c r="G614">
        <v>128</v>
      </c>
      <c r="H614">
        <v>21760</v>
      </c>
      <c r="I614">
        <v>4193</v>
      </c>
    </row>
    <row r="615" spans="1:9">
      <c r="A615" s="2">
        <v>45536</v>
      </c>
      <c r="B615">
        <v>2024</v>
      </c>
      <c r="C615" t="s">
        <v>17</v>
      </c>
      <c r="D615" t="s">
        <v>23</v>
      </c>
      <c r="E615" t="s">
        <v>30</v>
      </c>
      <c r="F615">
        <v>364</v>
      </c>
      <c r="G615">
        <v>137</v>
      </c>
      <c r="H615">
        <v>49868</v>
      </c>
      <c r="I615">
        <v>11075</v>
      </c>
    </row>
    <row r="616" spans="1:9">
      <c r="A616" s="2">
        <v>45536</v>
      </c>
      <c r="B616">
        <v>2024</v>
      </c>
      <c r="C616" t="s">
        <v>17</v>
      </c>
      <c r="D616" t="s">
        <v>23</v>
      </c>
      <c r="E616" t="s">
        <v>31</v>
      </c>
      <c r="F616">
        <v>416</v>
      </c>
      <c r="G616">
        <v>113</v>
      </c>
      <c r="H616">
        <v>47008</v>
      </c>
      <c r="I616">
        <v>9324</v>
      </c>
    </row>
    <row r="617" spans="1:9">
      <c r="A617" s="2">
        <v>45536</v>
      </c>
      <c r="B617">
        <v>2024</v>
      </c>
      <c r="C617" t="s">
        <v>17</v>
      </c>
      <c r="D617" t="s">
        <v>24</v>
      </c>
      <c r="E617" t="s">
        <v>27</v>
      </c>
      <c r="F617">
        <v>333</v>
      </c>
      <c r="G617">
        <v>648</v>
      </c>
      <c r="H617">
        <v>215784</v>
      </c>
      <c r="I617">
        <v>47216</v>
      </c>
    </row>
    <row r="618" spans="1:9">
      <c r="A618" s="2">
        <v>45536</v>
      </c>
      <c r="B618">
        <v>2024</v>
      </c>
      <c r="C618" t="s">
        <v>17</v>
      </c>
      <c r="D618" t="s">
        <v>24</v>
      </c>
      <c r="E618" t="s">
        <v>28</v>
      </c>
      <c r="F618">
        <v>290</v>
      </c>
      <c r="G618">
        <v>607</v>
      </c>
      <c r="H618">
        <v>176030</v>
      </c>
      <c r="I618">
        <v>22741</v>
      </c>
    </row>
    <row r="619" spans="1:9">
      <c r="A619" s="2">
        <v>45536</v>
      </c>
      <c r="B619">
        <v>2024</v>
      </c>
      <c r="C619" t="s">
        <v>17</v>
      </c>
      <c r="D619" t="s">
        <v>24</v>
      </c>
      <c r="E619" t="s">
        <v>29</v>
      </c>
      <c r="F619">
        <v>92</v>
      </c>
      <c r="G619">
        <v>618</v>
      </c>
      <c r="H619">
        <v>56856</v>
      </c>
      <c r="I619">
        <v>9793</v>
      </c>
    </row>
    <row r="620" spans="1:9">
      <c r="A620" s="2">
        <v>45536</v>
      </c>
      <c r="B620">
        <v>2024</v>
      </c>
      <c r="C620" t="s">
        <v>17</v>
      </c>
      <c r="D620" t="s">
        <v>24</v>
      </c>
      <c r="E620" t="s">
        <v>30</v>
      </c>
      <c r="F620">
        <v>331</v>
      </c>
      <c r="G620">
        <v>598</v>
      </c>
      <c r="H620">
        <v>197938</v>
      </c>
      <c r="I620">
        <v>48410</v>
      </c>
    </row>
    <row r="621" spans="1:9">
      <c r="A621" s="2">
        <v>45536</v>
      </c>
      <c r="B621">
        <v>2024</v>
      </c>
      <c r="C621" t="s">
        <v>17</v>
      </c>
      <c r="D621" t="s">
        <v>24</v>
      </c>
      <c r="E621" t="s">
        <v>31</v>
      </c>
      <c r="F621">
        <v>281</v>
      </c>
      <c r="G621">
        <v>602</v>
      </c>
      <c r="H621">
        <v>169162</v>
      </c>
      <c r="I621">
        <v>29129</v>
      </c>
    </row>
    <row r="622" spans="1:9">
      <c r="A622" s="2">
        <v>45536</v>
      </c>
      <c r="B622">
        <v>2024</v>
      </c>
      <c r="C622" t="s">
        <v>17</v>
      </c>
      <c r="D622" t="s">
        <v>25</v>
      </c>
      <c r="E622" t="s">
        <v>27</v>
      </c>
      <c r="F622">
        <v>349</v>
      </c>
      <c r="G622">
        <v>274</v>
      </c>
      <c r="H622">
        <v>95626</v>
      </c>
      <c r="I622">
        <v>17912</v>
      </c>
    </row>
    <row r="623" spans="1:9">
      <c r="A623" s="2">
        <v>45536</v>
      </c>
      <c r="B623">
        <v>2024</v>
      </c>
      <c r="C623" t="s">
        <v>17</v>
      </c>
      <c r="D623" t="s">
        <v>25</v>
      </c>
      <c r="E623" t="s">
        <v>28</v>
      </c>
      <c r="F623">
        <v>422</v>
      </c>
      <c r="G623">
        <v>236</v>
      </c>
      <c r="H623">
        <v>99592</v>
      </c>
      <c r="I623">
        <v>19205</v>
      </c>
    </row>
    <row r="624" spans="1:9">
      <c r="A624" s="2">
        <v>45536</v>
      </c>
      <c r="B624">
        <v>2024</v>
      </c>
      <c r="C624" t="s">
        <v>17</v>
      </c>
      <c r="D624" t="s">
        <v>25</v>
      </c>
      <c r="E624" t="s">
        <v>29</v>
      </c>
      <c r="F624">
        <v>98</v>
      </c>
      <c r="G624">
        <v>225</v>
      </c>
      <c r="H624">
        <v>22050</v>
      </c>
      <c r="I624">
        <v>3002</v>
      </c>
    </row>
    <row r="625" spans="1:9">
      <c r="A625" s="2">
        <v>45536</v>
      </c>
      <c r="B625">
        <v>2024</v>
      </c>
      <c r="C625" t="s">
        <v>17</v>
      </c>
      <c r="D625" t="s">
        <v>25</v>
      </c>
      <c r="E625" t="s">
        <v>30</v>
      </c>
      <c r="F625">
        <v>313</v>
      </c>
      <c r="G625">
        <v>237</v>
      </c>
      <c r="H625">
        <v>74181</v>
      </c>
      <c r="I625">
        <v>8137</v>
      </c>
    </row>
    <row r="626" spans="1:9">
      <c r="A626" s="2">
        <v>45536</v>
      </c>
      <c r="B626">
        <v>2024</v>
      </c>
      <c r="C626" t="s">
        <v>17</v>
      </c>
      <c r="D626" t="s">
        <v>25</v>
      </c>
      <c r="E626" t="s">
        <v>31</v>
      </c>
      <c r="F626">
        <v>256</v>
      </c>
      <c r="G626">
        <v>255</v>
      </c>
      <c r="H626">
        <v>65280</v>
      </c>
      <c r="I626">
        <v>7602</v>
      </c>
    </row>
    <row r="627" spans="1:9">
      <c r="A627" s="2">
        <v>45536</v>
      </c>
      <c r="B627">
        <v>2024</v>
      </c>
      <c r="C627" t="s">
        <v>17</v>
      </c>
      <c r="D627" t="s">
        <v>26</v>
      </c>
      <c r="E627" t="s">
        <v>27</v>
      </c>
      <c r="F627">
        <v>287</v>
      </c>
      <c r="G627">
        <v>371</v>
      </c>
      <c r="H627">
        <v>106477</v>
      </c>
      <c r="I627">
        <v>18622</v>
      </c>
    </row>
    <row r="628" spans="1:9">
      <c r="A628" s="2">
        <v>45536</v>
      </c>
      <c r="B628">
        <v>2024</v>
      </c>
      <c r="C628" t="s">
        <v>17</v>
      </c>
      <c r="D628" t="s">
        <v>26</v>
      </c>
      <c r="E628" t="s">
        <v>28</v>
      </c>
      <c r="F628">
        <v>360</v>
      </c>
      <c r="G628">
        <v>323</v>
      </c>
      <c r="H628">
        <v>116280</v>
      </c>
      <c r="I628">
        <v>20143</v>
      </c>
    </row>
    <row r="629" spans="1:9">
      <c r="A629" s="2">
        <v>45536</v>
      </c>
      <c r="B629">
        <v>2024</v>
      </c>
      <c r="C629" t="s">
        <v>17</v>
      </c>
      <c r="D629" t="s">
        <v>26</v>
      </c>
      <c r="E629" t="s">
        <v>29</v>
      </c>
      <c r="F629">
        <v>295</v>
      </c>
      <c r="G629">
        <v>390</v>
      </c>
      <c r="H629">
        <v>115050</v>
      </c>
      <c r="I629">
        <v>15706</v>
      </c>
    </row>
    <row r="630" spans="1:9">
      <c r="A630" s="2">
        <v>45536</v>
      </c>
      <c r="B630">
        <v>2024</v>
      </c>
      <c r="C630" t="s">
        <v>17</v>
      </c>
      <c r="D630" t="s">
        <v>26</v>
      </c>
      <c r="E630" t="s">
        <v>30</v>
      </c>
      <c r="F630">
        <v>173</v>
      </c>
      <c r="G630">
        <v>356</v>
      </c>
      <c r="H630">
        <v>61588</v>
      </c>
      <c r="I630">
        <v>9631</v>
      </c>
    </row>
    <row r="631" spans="1:9">
      <c r="A631" s="2">
        <v>45536</v>
      </c>
      <c r="B631">
        <v>2024</v>
      </c>
      <c r="C631" t="s">
        <v>17</v>
      </c>
      <c r="D631" t="s">
        <v>26</v>
      </c>
      <c r="E631" t="s">
        <v>31</v>
      </c>
      <c r="F631">
        <v>130</v>
      </c>
      <c r="G631">
        <v>383</v>
      </c>
      <c r="H631">
        <v>49790</v>
      </c>
      <c r="I631">
        <v>11641</v>
      </c>
    </row>
    <row r="632" spans="1:9">
      <c r="A632" s="2">
        <v>45566</v>
      </c>
      <c r="B632">
        <v>2024</v>
      </c>
      <c r="C632" t="s">
        <v>18</v>
      </c>
      <c r="D632" t="s">
        <v>21</v>
      </c>
      <c r="E632" t="s">
        <v>27</v>
      </c>
      <c r="F632">
        <v>199</v>
      </c>
      <c r="G632">
        <v>1110</v>
      </c>
      <c r="H632">
        <v>220890</v>
      </c>
      <c r="I632">
        <v>43913</v>
      </c>
    </row>
    <row r="633" spans="1:9">
      <c r="A633" s="2">
        <v>45566</v>
      </c>
      <c r="B633">
        <v>2024</v>
      </c>
      <c r="C633" t="s">
        <v>18</v>
      </c>
      <c r="D633" t="s">
        <v>21</v>
      </c>
      <c r="E633" t="s">
        <v>28</v>
      </c>
      <c r="F633">
        <v>225</v>
      </c>
      <c r="G633">
        <v>1322</v>
      </c>
      <c r="H633">
        <v>297450</v>
      </c>
      <c r="I633">
        <v>33154</v>
      </c>
    </row>
    <row r="634" spans="1:9">
      <c r="A634" s="2">
        <v>45566</v>
      </c>
      <c r="B634">
        <v>2024</v>
      </c>
      <c r="C634" t="s">
        <v>18</v>
      </c>
      <c r="D634" t="s">
        <v>21</v>
      </c>
      <c r="E634" t="s">
        <v>29</v>
      </c>
      <c r="F634">
        <v>190</v>
      </c>
      <c r="G634">
        <v>1332</v>
      </c>
      <c r="H634">
        <v>253080</v>
      </c>
      <c r="I634">
        <v>26766</v>
      </c>
    </row>
    <row r="635" spans="1:9">
      <c r="A635" s="2">
        <v>45566</v>
      </c>
      <c r="B635">
        <v>2024</v>
      </c>
      <c r="C635" t="s">
        <v>18</v>
      </c>
      <c r="D635" t="s">
        <v>21</v>
      </c>
      <c r="E635" t="s">
        <v>30</v>
      </c>
      <c r="F635">
        <v>336</v>
      </c>
      <c r="G635">
        <v>1218</v>
      </c>
      <c r="H635">
        <v>409248</v>
      </c>
      <c r="I635">
        <v>80040</v>
      </c>
    </row>
    <row r="636" spans="1:9">
      <c r="A636" s="2">
        <v>45566</v>
      </c>
      <c r="B636">
        <v>2024</v>
      </c>
      <c r="C636" t="s">
        <v>18</v>
      </c>
      <c r="D636" t="s">
        <v>21</v>
      </c>
      <c r="E636" t="s">
        <v>31</v>
      </c>
      <c r="F636">
        <v>399</v>
      </c>
      <c r="G636">
        <v>1195</v>
      </c>
      <c r="H636">
        <v>476805</v>
      </c>
      <c r="I636">
        <v>79873</v>
      </c>
    </row>
    <row r="637" spans="1:9">
      <c r="A637" s="2">
        <v>45566</v>
      </c>
      <c r="B637">
        <v>2024</v>
      </c>
      <c r="C637" t="s">
        <v>18</v>
      </c>
      <c r="D637" t="s">
        <v>22</v>
      </c>
      <c r="E637" t="s">
        <v>27</v>
      </c>
      <c r="F637">
        <v>171</v>
      </c>
      <c r="G637">
        <v>897</v>
      </c>
      <c r="H637">
        <v>153387</v>
      </c>
      <c r="I637">
        <v>25706</v>
      </c>
    </row>
    <row r="638" spans="1:9">
      <c r="A638" s="2">
        <v>45566</v>
      </c>
      <c r="B638">
        <v>2024</v>
      </c>
      <c r="C638" t="s">
        <v>18</v>
      </c>
      <c r="D638" t="s">
        <v>22</v>
      </c>
      <c r="E638" t="s">
        <v>28</v>
      </c>
      <c r="F638">
        <v>272</v>
      </c>
      <c r="G638">
        <v>750</v>
      </c>
      <c r="H638">
        <v>204000</v>
      </c>
      <c r="I638">
        <v>42965</v>
      </c>
    </row>
    <row r="639" spans="1:9">
      <c r="A639" s="2">
        <v>45566</v>
      </c>
      <c r="B639">
        <v>2024</v>
      </c>
      <c r="C639" t="s">
        <v>18</v>
      </c>
      <c r="D639" t="s">
        <v>22</v>
      </c>
      <c r="E639" t="s">
        <v>29</v>
      </c>
      <c r="F639">
        <v>179</v>
      </c>
      <c r="G639">
        <v>856</v>
      </c>
      <c r="H639">
        <v>153224</v>
      </c>
      <c r="I639">
        <v>16280</v>
      </c>
    </row>
    <row r="640" spans="1:9">
      <c r="A640" s="2">
        <v>45566</v>
      </c>
      <c r="B640">
        <v>2024</v>
      </c>
      <c r="C640" t="s">
        <v>18</v>
      </c>
      <c r="D640" t="s">
        <v>22</v>
      </c>
      <c r="E640" t="s">
        <v>30</v>
      </c>
      <c r="F640">
        <v>179</v>
      </c>
      <c r="G640">
        <v>863</v>
      </c>
      <c r="H640">
        <v>154477</v>
      </c>
      <c r="I640">
        <v>17118</v>
      </c>
    </row>
    <row r="641" spans="1:9">
      <c r="A641" s="2">
        <v>45566</v>
      </c>
      <c r="B641">
        <v>2024</v>
      </c>
      <c r="C641" t="s">
        <v>18</v>
      </c>
      <c r="D641" t="s">
        <v>22</v>
      </c>
      <c r="E641" t="s">
        <v>31</v>
      </c>
      <c r="F641">
        <v>250</v>
      </c>
      <c r="G641">
        <v>727</v>
      </c>
      <c r="H641">
        <v>181750</v>
      </c>
      <c r="I641">
        <v>32040</v>
      </c>
    </row>
    <row r="642" spans="1:9">
      <c r="A642" s="2">
        <v>45566</v>
      </c>
      <c r="B642">
        <v>2024</v>
      </c>
      <c r="C642" t="s">
        <v>18</v>
      </c>
      <c r="D642" t="s">
        <v>23</v>
      </c>
      <c r="E642" t="s">
        <v>27</v>
      </c>
      <c r="F642">
        <v>336</v>
      </c>
      <c r="G642">
        <v>118</v>
      </c>
      <c r="H642">
        <v>39648</v>
      </c>
      <c r="I642">
        <v>5728</v>
      </c>
    </row>
    <row r="643" spans="1:9">
      <c r="A643" s="2">
        <v>45566</v>
      </c>
      <c r="B643">
        <v>2024</v>
      </c>
      <c r="C643" t="s">
        <v>18</v>
      </c>
      <c r="D643" t="s">
        <v>23</v>
      </c>
      <c r="E643" t="s">
        <v>28</v>
      </c>
      <c r="F643">
        <v>236</v>
      </c>
      <c r="G643">
        <v>137</v>
      </c>
      <c r="H643">
        <v>32332</v>
      </c>
      <c r="I643">
        <v>7803</v>
      </c>
    </row>
    <row r="644" spans="1:9">
      <c r="A644" s="2">
        <v>45566</v>
      </c>
      <c r="B644">
        <v>2024</v>
      </c>
      <c r="C644" t="s">
        <v>18</v>
      </c>
      <c r="D644" t="s">
        <v>23</v>
      </c>
      <c r="E644" t="s">
        <v>29</v>
      </c>
      <c r="F644">
        <v>115</v>
      </c>
      <c r="G644">
        <v>118</v>
      </c>
      <c r="H644">
        <v>13570</v>
      </c>
      <c r="I644">
        <v>2195</v>
      </c>
    </row>
    <row r="645" spans="1:9">
      <c r="A645" s="2">
        <v>45566</v>
      </c>
      <c r="B645">
        <v>2024</v>
      </c>
      <c r="C645" t="s">
        <v>18</v>
      </c>
      <c r="D645" t="s">
        <v>23</v>
      </c>
      <c r="E645" t="s">
        <v>30</v>
      </c>
      <c r="F645">
        <v>368</v>
      </c>
      <c r="G645">
        <v>127</v>
      </c>
      <c r="H645">
        <v>46736</v>
      </c>
      <c r="I645">
        <v>10032</v>
      </c>
    </row>
    <row r="646" spans="1:9">
      <c r="A646" s="2">
        <v>45566</v>
      </c>
      <c r="B646">
        <v>2024</v>
      </c>
      <c r="C646" t="s">
        <v>18</v>
      </c>
      <c r="D646" t="s">
        <v>23</v>
      </c>
      <c r="E646" t="s">
        <v>31</v>
      </c>
      <c r="F646">
        <v>432</v>
      </c>
      <c r="G646">
        <v>120</v>
      </c>
      <c r="H646">
        <v>51840</v>
      </c>
      <c r="I646">
        <v>5826</v>
      </c>
    </row>
    <row r="647" spans="1:9">
      <c r="A647" s="2">
        <v>45566</v>
      </c>
      <c r="B647">
        <v>2024</v>
      </c>
      <c r="C647" t="s">
        <v>18</v>
      </c>
      <c r="D647" t="s">
        <v>24</v>
      </c>
      <c r="E647" t="s">
        <v>27</v>
      </c>
      <c r="F647">
        <v>323</v>
      </c>
      <c r="G647">
        <v>674</v>
      </c>
      <c r="H647">
        <v>217702</v>
      </c>
      <c r="I647">
        <v>47322</v>
      </c>
    </row>
    <row r="648" spans="1:9">
      <c r="A648" s="2">
        <v>45566</v>
      </c>
      <c r="B648">
        <v>2024</v>
      </c>
      <c r="C648" t="s">
        <v>18</v>
      </c>
      <c r="D648" t="s">
        <v>24</v>
      </c>
      <c r="E648" t="s">
        <v>28</v>
      </c>
      <c r="F648">
        <v>138</v>
      </c>
      <c r="G648">
        <v>578</v>
      </c>
      <c r="H648">
        <v>79764</v>
      </c>
      <c r="I648">
        <v>11095</v>
      </c>
    </row>
    <row r="649" spans="1:9">
      <c r="A649" s="2">
        <v>45566</v>
      </c>
      <c r="B649">
        <v>2024</v>
      </c>
      <c r="C649" t="s">
        <v>18</v>
      </c>
      <c r="D649" t="s">
        <v>24</v>
      </c>
      <c r="E649" t="s">
        <v>29</v>
      </c>
      <c r="F649">
        <v>199</v>
      </c>
      <c r="G649">
        <v>636</v>
      </c>
      <c r="H649">
        <v>126564</v>
      </c>
      <c r="I649">
        <v>22723</v>
      </c>
    </row>
    <row r="650" spans="1:9">
      <c r="A650" s="2">
        <v>45566</v>
      </c>
      <c r="B650">
        <v>2024</v>
      </c>
      <c r="C650" t="s">
        <v>18</v>
      </c>
      <c r="D650" t="s">
        <v>24</v>
      </c>
      <c r="E650" t="s">
        <v>30</v>
      </c>
      <c r="F650">
        <v>291</v>
      </c>
      <c r="G650">
        <v>674</v>
      </c>
      <c r="H650">
        <v>196134</v>
      </c>
      <c r="I650">
        <v>29093</v>
      </c>
    </row>
    <row r="651" spans="1:9">
      <c r="A651" s="2">
        <v>45566</v>
      </c>
      <c r="B651">
        <v>2024</v>
      </c>
      <c r="C651" t="s">
        <v>18</v>
      </c>
      <c r="D651" t="s">
        <v>24</v>
      </c>
      <c r="E651" t="s">
        <v>31</v>
      </c>
      <c r="F651">
        <v>263</v>
      </c>
      <c r="G651">
        <v>583</v>
      </c>
      <c r="H651">
        <v>153329</v>
      </c>
      <c r="I651">
        <v>37871</v>
      </c>
    </row>
    <row r="652" spans="1:9">
      <c r="A652" s="2">
        <v>45566</v>
      </c>
      <c r="B652">
        <v>2024</v>
      </c>
      <c r="C652" t="s">
        <v>18</v>
      </c>
      <c r="D652" t="s">
        <v>25</v>
      </c>
      <c r="E652" t="s">
        <v>27</v>
      </c>
      <c r="F652">
        <v>376</v>
      </c>
      <c r="G652">
        <v>261</v>
      </c>
      <c r="H652">
        <v>98136</v>
      </c>
      <c r="I652">
        <v>20825</v>
      </c>
    </row>
    <row r="653" spans="1:9">
      <c r="A653" s="2">
        <v>45566</v>
      </c>
      <c r="B653">
        <v>2024</v>
      </c>
      <c r="C653" t="s">
        <v>18</v>
      </c>
      <c r="D653" t="s">
        <v>25</v>
      </c>
      <c r="E653" t="s">
        <v>28</v>
      </c>
      <c r="F653">
        <v>397</v>
      </c>
      <c r="G653">
        <v>263</v>
      </c>
      <c r="H653">
        <v>104411</v>
      </c>
      <c r="I653">
        <v>12894</v>
      </c>
    </row>
    <row r="654" spans="1:9">
      <c r="A654" s="2">
        <v>45566</v>
      </c>
      <c r="B654">
        <v>2024</v>
      </c>
      <c r="C654" t="s">
        <v>18</v>
      </c>
      <c r="D654" t="s">
        <v>25</v>
      </c>
      <c r="E654" t="s">
        <v>29</v>
      </c>
      <c r="F654">
        <v>96</v>
      </c>
      <c r="G654">
        <v>246</v>
      </c>
      <c r="H654">
        <v>23616</v>
      </c>
      <c r="I654">
        <v>5649</v>
      </c>
    </row>
    <row r="655" spans="1:9">
      <c r="A655" s="2">
        <v>45566</v>
      </c>
      <c r="B655">
        <v>2024</v>
      </c>
      <c r="C655" t="s">
        <v>18</v>
      </c>
      <c r="D655" t="s">
        <v>25</v>
      </c>
      <c r="E655" t="s">
        <v>30</v>
      </c>
      <c r="F655">
        <v>283</v>
      </c>
      <c r="G655">
        <v>230</v>
      </c>
      <c r="H655">
        <v>65090</v>
      </c>
      <c r="I655">
        <v>10180</v>
      </c>
    </row>
    <row r="656" spans="1:9">
      <c r="A656" s="2">
        <v>45566</v>
      </c>
      <c r="B656">
        <v>2024</v>
      </c>
      <c r="C656" t="s">
        <v>18</v>
      </c>
      <c r="D656" t="s">
        <v>25</v>
      </c>
      <c r="E656" t="s">
        <v>31</v>
      </c>
      <c r="F656">
        <v>219</v>
      </c>
      <c r="G656">
        <v>249</v>
      </c>
      <c r="H656">
        <v>54531</v>
      </c>
      <c r="I656">
        <v>6791</v>
      </c>
    </row>
    <row r="657" spans="1:9">
      <c r="A657" s="2">
        <v>45566</v>
      </c>
      <c r="B657">
        <v>2024</v>
      </c>
      <c r="C657" t="s">
        <v>18</v>
      </c>
      <c r="D657" t="s">
        <v>26</v>
      </c>
      <c r="E657" t="s">
        <v>27</v>
      </c>
      <c r="F657">
        <v>316</v>
      </c>
      <c r="G657">
        <v>374</v>
      </c>
      <c r="H657">
        <v>118184</v>
      </c>
      <c r="I657">
        <v>20612</v>
      </c>
    </row>
    <row r="658" spans="1:9">
      <c r="A658" s="2">
        <v>45566</v>
      </c>
      <c r="B658">
        <v>2024</v>
      </c>
      <c r="C658" t="s">
        <v>18</v>
      </c>
      <c r="D658" t="s">
        <v>26</v>
      </c>
      <c r="E658" t="s">
        <v>28</v>
      </c>
      <c r="F658">
        <v>207</v>
      </c>
      <c r="G658">
        <v>371</v>
      </c>
      <c r="H658">
        <v>76797</v>
      </c>
      <c r="I658">
        <v>10973</v>
      </c>
    </row>
    <row r="659" spans="1:9">
      <c r="A659" s="2">
        <v>45566</v>
      </c>
      <c r="B659">
        <v>2024</v>
      </c>
      <c r="C659" t="s">
        <v>18</v>
      </c>
      <c r="D659" t="s">
        <v>26</v>
      </c>
      <c r="E659" t="s">
        <v>29</v>
      </c>
      <c r="F659">
        <v>120</v>
      </c>
      <c r="G659">
        <v>342</v>
      </c>
      <c r="H659">
        <v>41040</v>
      </c>
      <c r="I659">
        <v>9516</v>
      </c>
    </row>
    <row r="660" spans="1:9">
      <c r="A660" s="2">
        <v>45566</v>
      </c>
      <c r="B660">
        <v>2024</v>
      </c>
      <c r="C660" t="s">
        <v>18</v>
      </c>
      <c r="D660" t="s">
        <v>26</v>
      </c>
      <c r="E660" t="s">
        <v>30</v>
      </c>
      <c r="F660">
        <v>375</v>
      </c>
      <c r="G660">
        <v>395</v>
      </c>
      <c r="H660">
        <v>148125</v>
      </c>
      <c r="I660">
        <v>20416</v>
      </c>
    </row>
    <row r="661" spans="1:9">
      <c r="A661" s="2">
        <v>45566</v>
      </c>
      <c r="B661">
        <v>2024</v>
      </c>
      <c r="C661" t="s">
        <v>18</v>
      </c>
      <c r="D661" t="s">
        <v>26</v>
      </c>
      <c r="E661" t="s">
        <v>31</v>
      </c>
      <c r="F661">
        <v>246</v>
      </c>
      <c r="G661">
        <v>400</v>
      </c>
      <c r="H661">
        <v>98400</v>
      </c>
      <c r="I661">
        <v>20883</v>
      </c>
    </row>
    <row r="662" spans="1:9">
      <c r="A662" s="2">
        <v>45597</v>
      </c>
      <c r="B662">
        <v>2024</v>
      </c>
      <c r="C662" t="s">
        <v>19</v>
      </c>
      <c r="D662" t="s">
        <v>21</v>
      </c>
      <c r="E662" t="s">
        <v>27</v>
      </c>
      <c r="F662">
        <v>349</v>
      </c>
      <c r="G662">
        <v>1312</v>
      </c>
      <c r="H662">
        <v>457888</v>
      </c>
      <c r="I662">
        <v>90856</v>
      </c>
    </row>
    <row r="663" spans="1:9">
      <c r="A663" s="2">
        <v>45597</v>
      </c>
      <c r="B663">
        <v>2024</v>
      </c>
      <c r="C663" t="s">
        <v>19</v>
      </c>
      <c r="D663" t="s">
        <v>21</v>
      </c>
      <c r="E663" t="s">
        <v>28</v>
      </c>
      <c r="F663">
        <v>311</v>
      </c>
      <c r="G663">
        <v>1176</v>
      </c>
      <c r="H663">
        <v>365736</v>
      </c>
      <c r="I663">
        <v>77893</v>
      </c>
    </row>
    <row r="664" spans="1:9">
      <c r="A664" s="2">
        <v>45597</v>
      </c>
      <c r="B664">
        <v>2024</v>
      </c>
      <c r="C664" t="s">
        <v>19</v>
      </c>
      <c r="D664" t="s">
        <v>21</v>
      </c>
      <c r="E664" t="s">
        <v>29</v>
      </c>
      <c r="F664">
        <v>111</v>
      </c>
      <c r="G664">
        <v>1241</v>
      </c>
      <c r="H664">
        <v>137751</v>
      </c>
      <c r="I664">
        <v>28816</v>
      </c>
    </row>
    <row r="665" spans="1:9">
      <c r="A665" s="2">
        <v>45597</v>
      </c>
      <c r="B665">
        <v>2024</v>
      </c>
      <c r="C665" t="s">
        <v>19</v>
      </c>
      <c r="D665" t="s">
        <v>21</v>
      </c>
      <c r="E665" t="s">
        <v>30</v>
      </c>
      <c r="F665">
        <v>371</v>
      </c>
      <c r="G665">
        <v>1119</v>
      </c>
      <c r="H665">
        <v>415149</v>
      </c>
      <c r="I665">
        <v>86723</v>
      </c>
    </row>
    <row r="666" spans="1:9">
      <c r="A666" s="2">
        <v>45597</v>
      </c>
      <c r="B666">
        <v>2024</v>
      </c>
      <c r="C666" t="s">
        <v>19</v>
      </c>
      <c r="D666" t="s">
        <v>21</v>
      </c>
      <c r="E666" t="s">
        <v>31</v>
      </c>
      <c r="F666">
        <v>399</v>
      </c>
      <c r="G666">
        <v>1369</v>
      </c>
      <c r="H666">
        <v>546231</v>
      </c>
      <c r="I666">
        <v>94639</v>
      </c>
    </row>
    <row r="667" spans="1:9">
      <c r="A667" s="2">
        <v>45597</v>
      </c>
      <c r="B667">
        <v>2024</v>
      </c>
      <c r="C667" t="s">
        <v>19</v>
      </c>
      <c r="D667" t="s">
        <v>22</v>
      </c>
      <c r="E667" t="s">
        <v>27</v>
      </c>
      <c r="F667">
        <v>184</v>
      </c>
      <c r="G667">
        <v>788</v>
      </c>
      <c r="H667">
        <v>144992</v>
      </c>
      <c r="I667">
        <v>23490</v>
      </c>
    </row>
    <row r="668" spans="1:9">
      <c r="A668" s="2">
        <v>45597</v>
      </c>
      <c r="B668">
        <v>2024</v>
      </c>
      <c r="C668" t="s">
        <v>19</v>
      </c>
      <c r="D668" t="s">
        <v>22</v>
      </c>
      <c r="E668" t="s">
        <v>28</v>
      </c>
      <c r="F668">
        <v>295</v>
      </c>
      <c r="G668">
        <v>868</v>
      </c>
      <c r="H668">
        <v>256060</v>
      </c>
      <c r="I668">
        <v>49110</v>
      </c>
    </row>
    <row r="669" spans="1:9">
      <c r="A669" s="2">
        <v>45597</v>
      </c>
      <c r="B669">
        <v>2024</v>
      </c>
      <c r="C669" t="s">
        <v>19</v>
      </c>
      <c r="D669" t="s">
        <v>22</v>
      </c>
      <c r="E669" t="s">
        <v>29</v>
      </c>
      <c r="F669">
        <v>217</v>
      </c>
      <c r="G669">
        <v>833</v>
      </c>
      <c r="H669">
        <v>180761</v>
      </c>
      <c r="I669">
        <v>36754</v>
      </c>
    </row>
    <row r="670" spans="1:9">
      <c r="A670" s="2">
        <v>45597</v>
      </c>
      <c r="B670">
        <v>2024</v>
      </c>
      <c r="C670" t="s">
        <v>19</v>
      </c>
      <c r="D670" t="s">
        <v>22</v>
      </c>
      <c r="E670" t="s">
        <v>30</v>
      </c>
      <c r="F670">
        <v>412</v>
      </c>
      <c r="G670">
        <v>835</v>
      </c>
      <c r="H670">
        <v>344020</v>
      </c>
      <c r="I670">
        <v>79664</v>
      </c>
    </row>
    <row r="671" spans="1:9">
      <c r="A671" s="2">
        <v>45597</v>
      </c>
      <c r="B671">
        <v>2024</v>
      </c>
      <c r="C671" t="s">
        <v>19</v>
      </c>
      <c r="D671" t="s">
        <v>22</v>
      </c>
      <c r="E671" t="s">
        <v>31</v>
      </c>
      <c r="F671">
        <v>339</v>
      </c>
      <c r="G671">
        <v>752</v>
      </c>
      <c r="H671">
        <v>254928</v>
      </c>
      <c r="I671">
        <v>43142</v>
      </c>
    </row>
    <row r="672" spans="1:9">
      <c r="A672" s="2">
        <v>45597</v>
      </c>
      <c r="B672">
        <v>2024</v>
      </c>
      <c r="C672" t="s">
        <v>19</v>
      </c>
      <c r="D672" t="s">
        <v>23</v>
      </c>
      <c r="E672" t="s">
        <v>27</v>
      </c>
      <c r="F672">
        <v>246</v>
      </c>
      <c r="G672">
        <v>132</v>
      </c>
      <c r="H672">
        <v>32472</v>
      </c>
      <c r="I672">
        <v>6859</v>
      </c>
    </row>
    <row r="673" spans="1:9">
      <c r="A673" s="2">
        <v>45597</v>
      </c>
      <c r="B673">
        <v>2024</v>
      </c>
      <c r="C673" t="s">
        <v>19</v>
      </c>
      <c r="D673" t="s">
        <v>23</v>
      </c>
      <c r="E673" t="s">
        <v>28</v>
      </c>
      <c r="F673">
        <v>90</v>
      </c>
      <c r="G673">
        <v>137</v>
      </c>
      <c r="H673">
        <v>12330</v>
      </c>
      <c r="I673">
        <v>1416</v>
      </c>
    </row>
    <row r="674" spans="1:9">
      <c r="A674" s="2">
        <v>45597</v>
      </c>
      <c r="B674">
        <v>2024</v>
      </c>
      <c r="C674" t="s">
        <v>19</v>
      </c>
      <c r="D674" t="s">
        <v>23</v>
      </c>
      <c r="E674" t="s">
        <v>29</v>
      </c>
      <c r="F674">
        <v>334</v>
      </c>
      <c r="G674">
        <v>134</v>
      </c>
      <c r="H674">
        <v>44756</v>
      </c>
      <c r="I674">
        <v>8890</v>
      </c>
    </row>
    <row r="675" spans="1:9">
      <c r="A675" s="2">
        <v>45597</v>
      </c>
      <c r="B675">
        <v>2024</v>
      </c>
      <c r="C675" t="s">
        <v>19</v>
      </c>
      <c r="D675" t="s">
        <v>23</v>
      </c>
      <c r="E675" t="s">
        <v>30</v>
      </c>
      <c r="F675">
        <v>98</v>
      </c>
      <c r="G675">
        <v>130</v>
      </c>
      <c r="H675">
        <v>12740</v>
      </c>
      <c r="I675">
        <v>2831</v>
      </c>
    </row>
    <row r="676" spans="1:9">
      <c r="A676" s="2">
        <v>45597</v>
      </c>
      <c r="B676">
        <v>2024</v>
      </c>
      <c r="C676" t="s">
        <v>19</v>
      </c>
      <c r="D676" t="s">
        <v>23</v>
      </c>
      <c r="E676" t="s">
        <v>31</v>
      </c>
      <c r="F676">
        <v>328</v>
      </c>
      <c r="G676">
        <v>113</v>
      </c>
      <c r="H676">
        <v>37064</v>
      </c>
      <c r="I676">
        <v>5682</v>
      </c>
    </row>
    <row r="677" spans="1:9">
      <c r="A677" s="2">
        <v>45597</v>
      </c>
      <c r="B677">
        <v>2024</v>
      </c>
      <c r="C677" t="s">
        <v>19</v>
      </c>
      <c r="D677" t="s">
        <v>24</v>
      </c>
      <c r="E677" t="s">
        <v>27</v>
      </c>
      <c r="F677">
        <v>101</v>
      </c>
      <c r="G677">
        <v>620</v>
      </c>
      <c r="H677">
        <v>62620</v>
      </c>
      <c r="I677">
        <v>11185</v>
      </c>
    </row>
    <row r="678" spans="1:9">
      <c r="A678" s="2">
        <v>45597</v>
      </c>
      <c r="B678">
        <v>2024</v>
      </c>
      <c r="C678" t="s">
        <v>19</v>
      </c>
      <c r="D678" t="s">
        <v>24</v>
      </c>
      <c r="E678" t="s">
        <v>28</v>
      </c>
      <c r="F678">
        <v>345</v>
      </c>
      <c r="G678">
        <v>654</v>
      </c>
      <c r="H678">
        <v>225630</v>
      </c>
      <c r="I678">
        <v>23758</v>
      </c>
    </row>
    <row r="679" spans="1:9">
      <c r="A679" s="2">
        <v>45597</v>
      </c>
      <c r="B679">
        <v>2024</v>
      </c>
      <c r="C679" t="s">
        <v>19</v>
      </c>
      <c r="D679" t="s">
        <v>24</v>
      </c>
      <c r="E679" t="s">
        <v>29</v>
      </c>
      <c r="F679">
        <v>317</v>
      </c>
      <c r="G679">
        <v>541</v>
      </c>
      <c r="H679">
        <v>171497</v>
      </c>
      <c r="I679">
        <v>36431</v>
      </c>
    </row>
    <row r="680" spans="1:9">
      <c r="A680" s="2">
        <v>45597</v>
      </c>
      <c r="B680">
        <v>2024</v>
      </c>
      <c r="C680" t="s">
        <v>19</v>
      </c>
      <c r="D680" t="s">
        <v>24</v>
      </c>
      <c r="E680" t="s">
        <v>30</v>
      </c>
      <c r="F680">
        <v>109</v>
      </c>
      <c r="G680">
        <v>589</v>
      </c>
      <c r="H680">
        <v>64201</v>
      </c>
      <c r="I680">
        <v>7853</v>
      </c>
    </row>
    <row r="681" spans="1:9">
      <c r="A681" s="2">
        <v>45597</v>
      </c>
      <c r="B681">
        <v>2024</v>
      </c>
      <c r="C681" t="s">
        <v>19</v>
      </c>
      <c r="D681" t="s">
        <v>24</v>
      </c>
      <c r="E681" t="s">
        <v>31</v>
      </c>
      <c r="F681">
        <v>164</v>
      </c>
      <c r="G681">
        <v>671</v>
      </c>
      <c r="H681">
        <v>110044</v>
      </c>
      <c r="I681">
        <v>27450</v>
      </c>
    </row>
    <row r="682" spans="1:9">
      <c r="A682" s="2">
        <v>45597</v>
      </c>
      <c r="B682">
        <v>2024</v>
      </c>
      <c r="C682" t="s">
        <v>19</v>
      </c>
      <c r="D682" t="s">
        <v>25</v>
      </c>
      <c r="E682" t="s">
        <v>27</v>
      </c>
      <c r="F682">
        <v>232</v>
      </c>
      <c r="G682">
        <v>249</v>
      </c>
      <c r="H682">
        <v>57768</v>
      </c>
      <c r="I682">
        <v>11351</v>
      </c>
    </row>
    <row r="683" spans="1:9">
      <c r="A683" s="2">
        <v>45597</v>
      </c>
      <c r="B683">
        <v>2024</v>
      </c>
      <c r="C683" t="s">
        <v>19</v>
      </c>
      <c r="D683" t="s">
        <v>25</v>
      </c>
      <c r="E683" t="s">
        <v>28</v>
      </c>
      <c r="F683">
        <v>113</v>
      </c>
      <c r="G683">
        <v>238</v>
      </c>
      <c r="H683">
        <v>26894</v>
      </c>
      <c r="I683">
        <v>3245</v>
      </c>
    </row>
    <row r="684" spans="1:9">
      <c r="A684" s="2">
        <v>45597</v>
      </c>
      <c r="B684">
        <v>2024</v>
      </c>
      <c r="C684" t="s">
        <v>19</v>
      </c>
      <c r="D684" t="s">
        <v>25</v>
      </c>
      <c r="E684" t="s">
        <v>29</v>
      </c>
      <c r="F684">
        <v>341</v>
      </c>
      <c r="G684">
        <v>250</v>
      </c>
      <c r="H684">
        <v>85250</v>
      </c>
      <c r="I684">
        <v>17420</v>
      </c>
    </row>
    <row r="685" spans="1:9">
      <c r="A685" s="2">
        <v>45597</v>
      </c>
      <c r="B685">
        <v>2024</v>
      </c>
      <c r="C685" t="s">
        <v>19</v>
      </c>
      <c r="D685" t="s">
        <v>25</v>
      </c>
      <c r="E685" t="s">
        <v>30</v>
      </c>
      <c r="F685">
        <v>310</v>
      </c>
      <c r="G685">
        <v>263</v>
      </c>
      <c r="H685">
        <v>81530</v>
      </c>
      <c r="I685">
        <v>12500</v>
      </c>
    </row>
    <row r="686" spans="1:9">
      <c r="A686" s="2">
        <v>45597</v>
      </c>
      <c r="B686">
        <v>2024</v>
      </c>
      <c r="C686" t="s">
        <v>19</v>
      </c>
      <c r="D686" t="s">
        <v>25</v>
      </c>
      <c r="E686" t="s">
        <v>31</v>
      </c>
      <c r="F686">
        <v>150</v>
      </c>
      <c r="G686">
        <v>249</v>
      </c>
      <c r="H686">
        <v>37350</v>
      </c>
      <c r="I686">
        <v>5989</v>
      </c>
    </row>
    <row r="687" spans="1:9">
      <c r="A687" s="2">
        <v>45597</v>
      </c>
      <c r="B687">
        <v>2024</v>
      </c>
      <c r="C687" t="s">
        <v>19</v>
      </c>
      <c r="D687" t="s">
        <v>26</v>
      </c>
      <c r="E687" t="s">
        <v>27</v>
      </c>
      <c r="F687">
        <v>165</v>
      </c>
      <c r="G687">
        <v>357</v>
      </c>
      <c r="H687">
        <v>58905</v>
      </c>
      <c r="I687">
        <v>11565</v>
      </c>
    </row>
    <row r="688" spans="1:9">
      <c r="A688" s="2">
        <v>45597</v>
      </c>
      <c r="B688">
        <v>2024</v>
      </c>
      <c r="C688" t="s">
        <v>19</v>
      </c>
      <c r="D688" t="s">
        <v>26</v>
      </c>
      <c r="E688" t="s">
        <v>28</v>
      </c>
      <c r="F688">
        <v>325</v>
      </c>
      <c r="G688">
        <v>324</v>
      </c>
      <c r="H688">
        <v>105300</v>
      </c>
      <c r="I688">
        <v>14090</v>
      </c>
    </row>
    <row r="689" spans="1:9">
      <c r="A689" s="2">
        <v>45597</v>
      </c>
      <c r="B689">
        <v>2024</v>
      </c>
      <c r="C689" t="s">
        <v>19</v>
      </c>
      <c r="D689" t="s">
        <v>26</v>
      </c>
      <c r="E689" t="s">
        <v>29</v>
      </c>
      <c r="F689">
        <v>367</v>
      </c>
      <c r="G689">
        <v>357</v>
      </c>
      <c r="H689">
        <v>131019</v>
      </c>
      <c r="I689">
        <v>24881</v>
      </c>
    </row>
    <row r="690" spans="1:9">
      <c r="A690" s="2">
        <v>45597</v>
      </c>
      <c r="B690">
        <v>2024</v>
      </c>
      <c r="C690" t="s">
        <v>19</v>
      </c>
      <c r="D690" t="s">
        <v>26</v>
      </c>
      <c r="E690" t="s">
        <v>30</v>
      </c>
      <c r="F690">
        <v>262</v>
      </c>
      <c r="G690">
        <v>317</v>
      </c>
      <c r="H690">
        <v>83054</v>
      </c>
      <c r="I690">
        <v>12318</v>
      </c>
    </row>
    <row r="691" spans="1:9">
      <c r="A691" s="2">
        <v>45597</v>
      </c>
      <c r="B691">
        <v>2024</v>
      </c>
      <c r="C691" t="s">
        <v>19</v>
      </c>
      <c r="D691" t="s">
        <v>26</v>
      </c>
      <c r="E691" t="s">
        <v>31</v>
      </c>
      <c r="F691">
        <v>439</v>
      </c>
      <c r="G691">
        <v>321</v>
      </c>
      <c r="H691">
        <v>140919</v>
      </c>
      <c r="I691">
        <v>15329</v>
      </c>
    </row>
    <row r="692" spans="1:9">
      <c r="A692" s="2">
        <v>45627</v>
      </c>
      <c r="B692">
        <v>2024</v>
      </c>
      <c r="C692" t="s">
        <v>20</v>
      </c>
      <c r="D692" t="s">
        <v>21</v>
      </c>
      <c r="E692" t="s">
        <v>27</v>
      </c>
      <c r="F692">
        <v>212</v>
      </c>
      <c r="G692">
        <v>1303</v>
      </c>
      <c r="H692">
        <v>276236</v>
      </c>
      <c r="I692">
        <v>68311</v>
      </c>
    </row>
    <row r="693" spans="1:9">
      <c r="A693" s="2">
        <v>45627</v>
      </c>
      <c r="B693">
        <v>2024</v>
      </c>
      <c r="C693" t="s">
        <v>20</v>
      </c>
      <c r="D693" t="s">
        <v>21</v>
      </c>
      <c r="E693" t="s">
        <v>28</v>
      </c>
      <c r="F693">
        <v>221</v>
      </c>
      <c r="G693">
        <v>1316</v>
      </c>
      <c r="H693">
        <v>290836</v>
      </c>
      <c r="I693">
        <v>51649</v>
      </c>
    </row>
    <row r="694" spans="1:9">
      <c r="A694" s="2">
        <v>45627</v>
      </c>
      <c r="B694">
        <v>2024</v>
      </c>
      <c r="C694" t="s">
        <v>20</v>
      </c>
      <c r="D694" t="s">
        <v>21</v>
      </c>
      <c r="E694" t="s">
        <v>29</v>
      </c>
      <c r="F694">
        <v>285</v>
      </c>
      <c r="G694">
        <v>1124</v>
      </c>
      <c r="H694">
        <v>320340</v>
      </c>
      <c r="I694">
        <v>47803</v>
      </c>
    </row>
    <row r="695" spans="1:9">
      <c r="A695" s="2">
        <v>45627</v>
      </c>
      <c r="B695">
        <v>2024</v>
      </c>
      <c r="C695" t="s">
        <v>20</v>
      </c>
      <c r="D695" t="s">
        <v>21</v>
      </c>
      <c r="E695" t="s">
        <v>30</v>
      </c>
      <c r="F695">
        <v>296</v>
      </c>
      <c r="G695">
        <v>1150</v>
      </c>
      <c r="H695">
        <v>340400</v>
      </c>
      <c r="I695">
        <v>53004</v>
      </c>
    </row>
    <row r="696" spans="1:9">
      <c r="A696" s="2">
        <v>45627</v>
      </c>
      <c r="B696">
        <v>2024</v>
      </c>
      <c r="C696" t="s">
        <v>20</v>
      </c>
      <c r="D696" t="s">
        <v>21</v>
      </c>
      <c r="E696" t="s">
        <v>31</v>
      </c>
      <c r="F696">
        <v>217</v>
      </c>
      <c r="G696">
        <v>1259</v>
      </c>
      <c r="H696">
        <v>273203</v>
      </c>
      <c r="I696">
        <v>57468</v>
      </c>
    </row>
    <row r="697" spans="1:9">
      <c r="A697" s="2">
        <v>45627</v>
      </c>
      <c r="B697">
        <v>2024</v>
      </c>
      <c r="C697" t="s">
        <v>20</v>
      </c>
      <c r="D697" t="s">
        <v>22</v>
      </c>
      <c r="E697" t="s">
        <v>27</v>
      </c>
      <c r="F697">
        <v>443</v>
      </c>
      <c r="G697">
        <v>906</v>
      </c>
      <c r="H697">
        <v>401358</v>
      </c>
      <c r="I697">
        <v>78820</v>
      </c>
    </row>
    <row r="698" spans="1:9">
      <c r="A698" s="2">
        <v>45627</v>
      </c>
      <c r="B698">
        <v>2024</v>
      </c>
      <c r="C698" t="s">
        <v>20</v>
      </c>
      <c r="D698" t="s">
        <v>22</v>
      </c>
      <c r="E698" t="s">
        <v>28</v>
      </c>
      <c r="F698">
        <v>313</v>
      </c>
      <c r="G698">
        <v>847</v>
      </c>
      <c r="H698">
        <v>265111</v>
      </c>
      <c r="I698">
        <v>57753</v>
      </c>
    </row>
    <row r="699" spans="1:9">
      <c r="A699" s="2">
        <v>45627</v>
      </c>
      <c r="B699">
        <v>2024</v>
      </c>
      <c r="C699" t="s">
        <v>20</v>
      </c>
      <c r="D699" t="s">
        <v>22</v>
      </c>
      <c r="E699" t="s">
        <v>29</v>
      </c>
      <c r="F699">
        <v>313</v>
      </c>
      <c r="G699">
        <v>918</v>
      </c>
      <c r="H699">
        <v>287334</v>
      </c>
      <c r="I699">
        <v>60938</v>
      </c>
    </row>
    <row r="700" spans="1:9">
      <c r="A700" s="2">
        <v>45627</v>
      </c>
      <c r="B700">
        <v>2024</v>
      </c>
      <c r="C700" t="s">
        <v>20</v>
      </c>
      <c r="D700" t="s">
        <v>22</v>
      </c>
      <c r="E700" t="s">
        <v>30</v>
      </c>
      <c r="F700">
        <v>244</v>
      </c>
      <c r="G700">
        <v>910</v>
      </c>
      <c r="H700">
        <v>222040</v>
      </c>
      <c r="I700">
        <v>28962</v>
      </c>
    </row>
    <row r="701" spans="1:9">
      <c r="A701" s="2">
        <v>45627</v>
      </c>
      <c r="B701">
        <v>2024</v>
      </c>
      <c r="C701" t="s">
        <v>20</v>
      </c>
      <c r="D701" t="s">
        <v>22</v>
      </c>
      <c r="E701" t="s">
        <v>31</v>
      </c>
      <c r="F701">
        <v>158</v>
      </c>
      <c r="G701">
        <v>915</v>
      </c>
      <c r="H701">
        <v>144570</v>
      </c>
      <c r="I701">
        <v>18041</v>
      </c>
    </row>
    <row r="702" spans="1:9">
      <c r="A702" s="2">
        <v>45627</v>
      </c>
      <c r="B702">
        <v>2024</v>
      </c>
      <c r="C702" t="s">
        <v>20</v>
      </c>
      <c r="D702" t="s">
        <v>23</v>
      </c>
      <c r="E702" t="s">
        <v>27</v>
      </c>
      <c r="F702">
        <v>210</v>
      </c>
      <c r="G702">
        <v>108</v>
      </c>
      <c r="H702">
        <v>22680</v>
      </c>
      <c r="I702">
        <v>5097</v>
      </c>
    </row>
    <row r="703" spans="1:9">
      <c r="A703" s="2">
        <v>45627</v>
      </c>
      <c r="B703">
        <v>2024</v>
      </c>
      <c r="C703" t="s">
        <v>20</v>
      </c>
      <c r="D703" t="s">
        <v>23</v>
      </c>
      <c r="E703" t="s">
        <v>28</v>
      </c>
      <c r="F703">
        <v>313</v>
      </c>
      <c r="G703">
        <v>123</v>
      </c>
      <c r="H703">
        <v>38499</v>
      </c>
      <c r="I703">
        <v>5574</v>
      </c>
    </row>
    <row r="704" spans="1:9">
      <c r="A704" s="2">
        <v>45627</v>
      </c>
      <c r="B704">
        <v>2024</v>
      </c>
      <c r="C704" t="s">
        <v>20</v>
      </c>
      <c r="D704" t="s">
        <v>23</v>
      </c>
      <c r="E704" t="s">
        <v>29</v>
      </c>
      <c r="F704">
        <v>366</v>
      </c>
      <c r="G704">
        <v>109</v>
      </c>
      <c r="H704">
        <v>39894</v>
      </c>
      <c r="I704">
        <v>9092</v>
      </c>
    </row>
    <row r="705" spans="1:9">
      <c r="A705" s="2">
        <v>45627</v>
      </c>
      <c r="B705">
        <v>2024</v>
      </c>
      <c r="C705" t="s">
        <v>20</v>
      </c>
      <c r="D705" t="s">
        <v>23</v>
      </c>
      <c r="E705" t="s">
        <v>30</v>
      </c>
      <c r="F705">
        <v>167</v>
      </c>
      <c r="G705">
        <v>133</v>
      </c>
      <c r="H705">
        <v>22211</v>
      </c>
      <c r="I705">
        <v>2841</v>
      </c>
    </row>
    <row r="706" spans="1:9">
      <c r="A706" s="2">
        <v>45627</v>
      </c>
      <c r="B706">
        <v>2024</v>
      </c>
      <c r="C706" t="s">
        <v>20</v>
      </c>
      <c r="D706" t="s">
        <v>23</v>
      </c>
      <c r="E706" t="s">
        <v>31</v>
      </c>
      <c r="F706">
        <v>144</v>
      </c>
      <c r="G706">
        <v>121</v>
      </c>
      <c r="H706">
        <v>17424</v>
      </c>
      <c r="I706">
        <v>4192</v>
      </c>
    </row>
    <row r="707" spans="1:9">
      <c r="A707" s="2">
        <v>45627</v>
      </c>
      <c r="B707">
        <v>2024</v>
      </c>
      <c r="C707" t="s">
        <v>20</v>
      </c>
      <c r="D707" t="s">
        <v>24</v>
      </c>
      <c r="E707" t="s">
        <v>27</v>
      </c>
      <c r="F707">
        <v>168</v>
      </c>
      <c r="G707">
        <v>634</v>
      </c>
      <c r="H707">
        <v>106512</v>
      </c>
      <c r="I707">
        <v>11447</v>
      </c>
    </row>
    <row r="708" spans="1:9">
      <c r="A708" s="2">
        <v>45627</v>
      </c>
      <c r="B708">
        <v>2024</v>
      </c>
      <c r="C708" t="s">
        <v>20</v>
      </c>
      <c r="D708" t="s">
        <v>24</v>
      </c>
      <c r="E708" t="s">
        <v>28</v>
      </c>
      <c r="F708">
        <v>423</v>
      </c>
      <c r="G708">
        <v>614</v>
      </c>
      <c r="H708">
        <v>259722</v>
      </c>
      <c r="I708">
        <v>42991</v>
      </c>
    </row>
    <row r="709" spans="1:9">
      <c r="A709" s="2">
        <v>45627</v>
      </c>
      <c r="B709">
        <v>2024</v>
      </c>
      <c r="C709" t="s">
        <v>20</v>
      </c>
      <c r="D709" t="s">
        <v>24</v>
      </c>
      <c r="E709" t="s">
        <v>29</v>
      </c>
      <c r="F709">
        <v>443</v>
      </c>
      <c r="G709">
        <v>541</v>
      </c>
      <c r="H709">
        <v>239663</v>
      </c>
      <c r="I709">
        <v>26025</v>
      </c>
    </row>
    <row r="710" spans="1:9">
      <c r="A710" s="2">
        <v>45627</v>
      </c>
      <c r="B710">
        <v>2024</v>
      </c>
      <c r="C710" t="s">
        <v>20</v>
      </c>
      <c r="D710" t="s">
        <v>24</v>
      </c>
      <c r="E710" t="s">
        <v>30</v>
      </c>
      <c r="F710">
        <v>286</v>
      </c>
      <c r="G710">
        <v>631</v>
      </c>
      <c r="H710">
        <v>180466</v>
      </c>
      <c r="I710">
        <v>21710</v>
      </c>
    </row>
    <row r="711" spans="1:9">
      <c r="A711" s="2">
        <v>45627</v>
      </c>
      <c r="B711">
        <v>2024</v>
      </c>
      <c r="C711" t="s">
        <v>20</v>
      </c>
      <c r="D711" t="s">
        <v>24</v>
      </c>
      <c r="E711" t="s">
        <v>31</v>
      </c>
      <c r="F711">
        <v>124</v>
      </c>
      <c r="G711">
        <v>678</v>
      </c>
      <c r="H711">
        <v>84072</v>
      </c>
      <c r="I711">
        <v>14360</v>
      </c>
    </row>
    <row r="712" spans="1:9">
      <c r="A712" s="2">
        <v>45627</v>
      </c>
      <c r="B712">
        <v>2024</v>
      </c>
      <c r="C712" t="s">
        <v>20</v>
      </c>
      <c r="D712" t="s">
        <v>25</v>
      </c>
      <c r="E712" t="s">
        <v>27</v>
      </c>
      <c r="F712">
        <v>330</v>
      </c>
      <c r="G712">
        <v>229</v>
      </c>
      <c r="H712">
        <v>75570</v>
      </c>
      <c r="I712">
        <v>8203</v>
      </c>
    </row>
    <row r="713" spans="1:9">
      <c r="A713" s="2">
        <v>45627</v>
      </c>
      <c r="B713">
        <v>2024</v>
      </c>
      <c r="C713" t="s">
        <v>20</v>
      </c>
      <c r="D713" t="s">
        <v>25</v>
      </c>
      <c r="E713" t="s">
        <v>28</v>
      </c>
      <c r="F713">
        <v>338</v>
      </c>
      <c r="G713">
        <v>242</v>
      </c>
      <c r="H713">
        <v>81796</v>
      </c>
      <c r="I713">
        <v>11561</v>
      </c>
    </row>
    <row r="714" spans="1:9">
      <c r="A714" s="2">
        <v>45627</v>
      </c>
      <c r="B714">
        <v>2024</v>
      </c>
      <c r="C714" t="s">
        <v>20</v>
      </c>
      <c r="D714" t="s">
        <v>25</v>
      </c>
      <c r="E714" t="s">
        <v>29</v>
      </c>
      <c r="F714">
        <v>395</v>
      </c>
      <c r="G714">
        <v>240</v>
      </c>
      <c r="H714">
        <v>94800</v>
      </c>
      <c r="I714">
        <v>13347</v>
      </c>
    </row>
    <row r="715" spans="1:9">
      <c r="A715" s="2">
        <v>45627</v>
      </c>
      <c r="B715">
        <v>2024</v>
      </c>
      <c r="C715" t="s">
        <v>20</v>
      </c>
      <c r="D715" t="s">
        <v>25</v>
      </c>
      <c r="E715" t="s">
        <v>30</v>
      </c>
      <c r="F715">
        <v>295</v>
      </c>
      <c r="G715">
        <v>251</v>
      </c>
      <c r="H715">
        <v>74045</v>
      </c>
      <c r="I715">
        <v>16787</v>
      </c>
    </row>
    <row r="716" spans="1:9">
      <c r="A716" s="2">
        <v>45627</v>
      </c>
      <c r="B716">
        <v>2024</v>
      </c>
      <c r="C716" t="s">
        <v>20</v>
      </c>
      <c r="D716" t="s">
        <v>25</v>
      </c>
      <c r="E716" t="s">
        <v>31</v>
      </c>
      <c r="F716">
        <v>168</v>
      </c>
      <c r="G716">
        <v>229</v>
      </c>
      <c r="H716">
        <v>38472</v>
      </c>
      <c r="I716">
        <v>6660</v>
      </c>
    </row>
    <row r="717" spans="1:9">
      <c r="A717" s="2">
        <v>45627</v>
      </c>
      <c r="B717">
        <v>2024</v>
      </c>
      <c r="C717" t="s">
        <v>20</v>
      </c>
      <c r="D717" t="s">
        <v>26</v>
      </c>
      <c r="E717" t="s">
        <v>27</v>
      </c>
      <c r="F717">
        <v>297</v>
      </c>
      <c r="G717">
        <v>319</v>
      </c>
      <c r="H717">
        <v>94743</v>
      </c>
      <c r="I717">
        <v>18281</v>
      </c>
    </row>
    <row r="718" spans="1:9">
      <c r="A718" s="2">
        <v>45627</v>
      </c>
      <c r="B718">
        <v>2024</v>
      </c>
      <c r="C718" t="s">
        <v>20</v>
      </c>
      <c r="D718" t="s">
        <v>26</v>
      </c>
      <c r="E718" t="s">
        <v>28</v>
      </c>
      <c r="F718">
        <v>113</v>
      </c>
      <c r="G718">
        <v>361</v>
      </c>
      <c r="H718">
        <v>40793</v>
      </c>
      <c r="I718">
        <v>6594</v>
      </c>
    </row>
    <row r="719" spans="1:9">
      <c r="A719" s="2">
        <v>45627</v>
      </c>
      <c r="B719">
        <v>2024</v>
      </c>
      <c r="C719" t="s">
        <v>20</v>
      </c>
      <c r="D719" t="s">
        <v>26</v>
      </c>
      <c r="E719" t="s">
        <v>29</v>
      </c>
      <c r="F719">
        <v>97</v>
      </c>
      <c r="G719">
        <v>322</v>
      </c>
      <c r="H719">
        <v>31234</v>
      </c>
      <c r="I719">
        <v>4232</v>
      </c>
    </row>
    <row r="720" spans="1:9">
      <c r="A720" s="2">
        <v>45627</v>
      </c>
      <c r="B720">
        <v>2024</v>
      </c>
      <c r="C720" t="s">
        <v>20</v>
      </c>
      <c r="D720" t="s">
        <v>26</v>
      </c>
      <c r="E720" t="s">
        <v>30</v>
      </c>
      <c r="F720">
        <v>270</v>
      </c>
      <c r="G720">
        <v>373</v>
      </c>
      <c r="H720">
        <v>100710</v>
      </c>
      <c r="I720">
        <v>24624</v>
      </c>
    </row>
    <row r="721" spans="1:9">
      <c r="A721" s="2">
        <v>45627</v>
      </c>
      <c r="B721">
        <v>2024</v>
      </c>
      <c r="C721" t="s">
        <v>20</v>
      </c>
      <c r="D721" t="s">
        <v>26</v>
      </c>
      <c r="E721" t="s">
        <v>31</v>
      </c>
      <c r="F721">
        <v>251</v>
      </c>
      <c r="G721">
        <v>392</v>
      </c>
      <c r="H721">
        <v>98392</v>
      </c>
      <c r="I721">
        <v>15646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11" topLeftCell="A12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5" max="5" width="40.7109375" customWidth="1"/>
    <col min="11" max="11" width="18.7109375" customWidth="1"/>
  </cols>
  <sheetData>
    <row r="1" spans="1:3">
      <c r="A1" s="3" t="s">
        <v>32</v>
      </c>
    </row>
    <row r="2" spans="1:3">
      <c r="A2" s="4" t="s">
        <v>33</v>
      </c>
    </row>
    <row r="4" spans="1:3">
      <c r="A4" s="5" t="s">
        <v>34</v>
      </c>
      <c r="B4" s="5" t="s">
        <v>35</v>
      </c>
    </row>
    <row r="5" spans="1:3">
      <c r="A5" s="6" t="s">
        <v>36</v>
      </c>
      <c r="B5" s="7">
        <f>SUMIFS('All Data'!H:H,'All Data'!B:B,2023)</f>
        <v>0</v>
      </c>
    </row>
    <row r="6" spans="1:3">
      <c r="A6" s="6" t="s">
        <v>37</v>
      </c>
      <c r="B6" s="7">
        <f>SUMIFS('All Data'!H:H,'All Data'!B:B,2024)</f>
        <v>0</v>
      </c>
    </row>
    <row r="7" spans="1:3">
      <c r="A7" s="6" t="s">
        <v>38</v>
      </c>
      <c r="B7" s="8">
        <f>(B6-B5)/IF(B5=0,1,B5)</f>
        <v>0</v>
      </c>
    </row>
    <row r="8" spans="1:3">
      <c r="A8" s="6" t="s">
        <v>39</v>
      </c>
      <c r="B8" s="7">
        <f>SUMIFS('All Data'!I:I,'All Data'!B:B,2024)</f>
        <v>0</v>
      </c>
    </row>
    <row r="9" spans="1:3">
      <c r="A9" s="6" t="s">
        <v>40</v>
      </c>
      <c r="B9" s="7">
        <f>SUMIFS('All Data'!F:F,'All Data'!B:B,2024)</f>
        <v>0</v>
      </c>
    </row>
    <row r="12" spans="1:3">
      <c r="A12" s="5" t="s">
        <v>2</v>
      </c>
      <c r="B12" s="5" t="s">
        <v>41</v>
      </c>
      <c r="C12" s="5" t="s">
        <v>42</v>
      </c>
    </row>
    <row r="13" spans="1:3">
      <c r="A13" t="s">
        <v>9</v>
      </c>
      <c r="B13" s="7">
        <f>SUMIFS('All Data'!H:H,'All Data'!B:B,2023,'All Data'!C:C,"January")</f>
        <v>0</v>
      </c>
      <c r="C13" s="7">
        <f>SUMIFS('All Data'!H:H,'All Data'!B:B,2024,'All Data'!C:C,"January")</f>
        <v>0</v>
      </c>
    </row>
    <row r="14" spans="1:3">
      <c r="A14" t="s">
        <v>10</v>
      </c>
      <c r="B14" s="7">
        <f>SUMIFS('All Data'!H:H,'All Data'!B:B,2023,'All Data'!C:C,"February")</f>
        <v>0</v>
      </c>
      <c r="C14" s="7">
        <f>SUMIFS('All Data'!H:H,'All Data'!B:B,2024,'All Data'!C:C,"February")</f>
        <v>0</v>
      </c>
    </row>
    <row r="15" spans="1:3">
      <c r="A15" t="s">
        <v>11</v>
      </c>
      <c r="B15" s="7">
        <f>SUMIFS('All Data'!H:H,'All Data'!B:B,2023,'All Data'!C:C,"March")</f>
        <v>0</v>
      </c>
      <c r="C15" s="7">
        <f>SUMIFS('All Data'!H:H,'All Data'!B:B,2024,'All Data'!C:C,"March")</f>
        <v>0</v>
      </c>
    </row>
    <row r="16" spans="1:3">
      <c r="A16" t="s">
        <v>12</v>
      </c>
      <c r="B16" s="7">
        <f>SUMIFS('All Data'!H:H,'All Data'!B:B,2023,'All Data'!C:C,"April")</f>
        <v>0</v>
      </c>
      <c r="C16" s="7">
        <f>SUMIFS('All Data'!H:H,'All Data'!B:B,2024,'All Data'!C:C,"April")</f>
        <v>0</v>
      </c>
    </row>
    <row r="17" spans="1:3">
      <c r="A17" t="s">
        <v>13</v>
      </c>
      <c r="B17" s="7">
        <f>SUMIFS('All Data'!H:H,'All Data'!B:B,2023,'All Data'!C:C,"May")</f>
        <v>0</v>
      </c>
      <c r="C17" s="7">
        <f>SUMIFS('All Data'!H:H,'All Data'!B:B,2024,'All Data'!C:C,"May")</f>
        <v>0</v>
      </c>
    </row>
    <row r="18" spans="1:3">
      <c r="A18" t="s">
        <v>14</v>
      </c>
      <c r="B18" s="7">
        <f>SUMIFS('All Data'!H:H,'All Data'!B:B,2023,'All Data'!C:C,"June")</f>
        <v>0</v>
      </c>
      <c r="C18" s="7">
        <f>SUMIFS('All Data'!H:H,'All Data'!B:B,2024,'All Data'!C:C,"June")</f>
        <v>0</v>
      </c>
    </row>
    <row r="19" spans="1:3">
      <c r="A19" t="s">
        <v>15</v>
      </c>
      <c r="B19" s="7">
        <f>SUMIFS('All Data'!H:H,'All Data'!B:B,2023,'All Data'!C:C,"July")</f>
        <v>0</v>
      </c>
      <c r="C19" s="7">
        <f>SUMIFS('All Data'!H:H,'All Data'!B:B,2024,'All Data'!C:C,"July")</f>
        <v>0</v>
      </c>
    </row>
    <row r="20" spans="1:3">
      <c r="A20" t="s">
        <v>16</v>
      </c>
      <c r="B20" s="7">
        <f>SUMIFS('All Data'!H:H,'All Data'!B:B,2023,'All Data'!C:C,"August")</f>
        <v>0</v>
      </c>
      <c r="C20" s="7">
        <f>SUMIFS('All Data'!H:H,'All Data'!B:B,2024,'All Data'!C:C,"August")</f>
        <v>0</v>
      </c>
    </row>
    <row r="21" spans="1:3">
      <c r="A21" t="s">
        <v>17</v>
      </c>
      <c r="B21" s="7">
        <f>SUMIFS('All Data'!H:H,'All Data'!B:B,2023,'All Data'!C:C,"September")</f>
        <v>0</v>
      </c>
      <c r="C21" s="7">
        <f>SUMIFS('All Data'!H:H,'All Data'!B:B,2024,'All Data'!C:C,"September")</f>
        <v>0</v>
      </c>
    </row>
    <row r="22" spans="1:3">
      <c r="A22" t="s">
        <v>18</v>
      </c>
      <c r="B22" s="7">
        <f>SUMIFS('All Data'!H:H,'All Data'!B:B,2023,'All Data'!C:C,"October")</f>
        <v>0</v>
      </c>
      <c r="C22" s="7">
        <f>SUMIFS('All Data'!H:H,'All Data'!B:B,2024,'All Data'!C:C,"October")</f>
        <v>0</v>
      </c>
    </row>
    <row r="23" spans="1:3">
      <c r="A23" t="s">
        <v>19</v>
      </c>
      <c r="B23" s="7">
        <f>SUMIFS('All Data'!H:H,'All Data'!B:B,2023,'All Data'!C:C,"November")</f>
        <v>0</v>
      </c>
      <c r="C23" s="7">
        <f>SUMIFS('All Data'!H:H,'All Data'!B:B,2024,'All Data'!C:C,"November")</f>
        <v>0</v>
      </c>
    </row>
    <row r="24" spans="1:3">
      <c r="A24" t="s">
        <v>20</v>
      </c>
      <c r="B24" s="7">
        <f>SUMIFS('All Data'!H:H,'All Data'!B:B,2023,'All Data'!C:C,"December")</f>
        <v>0</v>
      </c>
      <c r="C24" s="7">
        <f>SUMIFS('All Data'!H:H,'All Data'!B:B,2024,'All Data'!C:C,"December")</f>
        <v>0</v>
      </c>
    </row>
    <row r="26" spans="1:3">
      <c r="A26" t="s">
        <v>21</v>
      </c>
      <c r="B26" s="7">
        <f>SUMIFS('All Data'!H:H,'All Data'!D:D,"Laptop",'All Data'!B:B,2024)</f>
        <v>0</v>
      </c>
    </row>
    <row r="27" spans="1:3">
      <c r="A27" t="s">
        <v>22</v>
      </c>
      <c r="B27" s="7">
        <f>SUMIFS('All Data'!H:H,'All Data'!D:D,"Smartphone",'All Data'!B:B,2024)</f>
        <v>0</v>
      </c>
    </row>
    <row r="28" spans="1:3">
      <c r="A28" t="s">
        <v>23</v>
      </c>
      <c r="B28" s="7">
        <f>SUMIFS('All Data'!H:H,'All Data'!D:D,"Headphones",'All Data'!B:B,2024)</f>
        <v>0</v>
      </c>
    </row>
    <row r="29" spans="1:3">
      <c r="A29" t="s">
        <v>24</v>
      </c>
      <c r="B29" s="7">
        <f>SUMIFS('All Data'!H:H,'All Data'!D:D,"Tablet",'All Data'!B:B,2024)</f>
        <v>0</v>
      </c>
    </row>
    <row r="30" spans="1:3">
      <c r="A30" t="s">
        <v>25</v>
      </c>
      <c r="B30" s="7">
        <f>SUMIFS('All Data'!H:H,'All Data'!D:D,"Smartwatch",'All Data'!B:B,2024)</f>
        <v>0</v>
      </c>
    </row>
    <row r="31" spans="1:3">
      <c r="A31" t="s">
        <v>26</v>
      </c>
      <c r="B31" s="7">
        <f>SUMIFS('All Data'!H:H,'All Data'!D:D,"Monitor",'All Data'!B:B,2024)</f>
        <v>0</v>
      </c>
    </row>
    <row r="34" spans="1:2">
      <c r="A34" t="s">
        <v>27</v>
      </c>
      <c r="B34" s="7">
        <f>SUMIFS('All Data'!H:H,'All Data'!E:E,"Accra",'All Data'!B:B,2024)</f>
        <v>0</v>
      </c>
    </row>
    <row r="35" spans="1:2">
      <c r="A35" t="s">
        <v>28</v>
      </c>
      <c r="B35" s="7">
        <f>SUMIFS('All Data'!H:H,'All Data'!E:E,"Kumasi",'All Data'!B:B,2024)</f>
        <v>0</v>
      </c>
    </row>
    <row r="36" spans="1:2">
      <c r="A36" t="s">
        <v>29</v>
      </c>
      <c r="B36" s="7">
        <f>SUMIFS('All Data'!H:H,'All Data'!E:E,"Takoradi",'All Data'!B:B,2024)</f>
        <v>0</v>
      </c>
    </row>
    <row r="37" spans="1:2">
      <c r="A37" t="s">
        <v>30</v>
      </c>
      <c r="B37" s="7">
        <f>SUMIFS('All Data'!H:H,'All Data'!E:E,"Tamale",'All Data'!B:B,2024)</f>
        <v>0</v>
      </c>
    </row>
    <row r="38" spans="1:2">
      <c r="A38" t="s">
        <v>31</v>
      </c>
      <c r="B38" s="7">
        <f>SUMIFS('All Data'!H:H,'All Data'!E:E,"Cape Coast",'All Data'!B:B,2024)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2023</vt:lpstr>
      <vt:lpstr>Sales 2024</vt:lpstr>
      <vt:lpstr>All 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2025-11-03T14:51:53Z</dcterms:created>
  <dcterms:modified xsi:type="dcterms:W3CDTF">2025-11-03T14:51:53Z</dcterms:modified>
</cp:coreProperties>
</file>