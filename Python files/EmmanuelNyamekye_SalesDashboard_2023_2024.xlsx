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Data Science\Python files\"/>
    </mc:Choice>
  </mc:AlternateContent>
  <xr:revisionPtr revIDLastSave="0" documentId="13_ncr:1_{7A8036C5-BDCA-45D6-88FB-8ADCCE84414F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Sales 2023" sheetId="1" r:id="rId1"/>
    <sheet name="Sales 2024" sheetId="2" r:id="rId2"/>
    <sheet name="All Data" sheetId="3" r:id="rId3"/>
    <sheet name="Dashboard" sheetId="4" r:id="rId4"/>
  </sheets>
  <definedNames>
    <definedName name="_xlchart.v1.0" hidden="1">Dashboard!$A$34:$A$38</definedName>
    <definedName name="_xlchart.v1.1" hidden="1">Dashboard!$C$34:$C$38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4" l="1"/>
  <c r="B37" i="4"/>
  <c r="B36" i="4"/>
  <c r="B35" i="4"/>
  <c r="B34" i="4"/>
  <c r="C34" i="4"/>
  <c r="B31" i="4"/>
  <c r="B30" i="4"/>
  <c r="B29" i="4"/>
  <c r="B28" i="4"/>
  <c r="B27" i="4"/>
  <c r="B26" i="4"/>
  <c r="C27" i="4"/>
  <c r="C29" i="4"/>
  <c r="C28" i="4"/>
  <c r="C30" i="4"/>
  <c r="C31" i="4"/>
  <c r="B14" i="4"/>
  <c r="B15" i="4"/>
  <c r="C38" i="4"/>
  <c r="C37" i="4"/>
  <c r="C36" i="4"/>
  <c r="C3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C14" i="4"/>
  <c r="C13" i="4"/>
  <c r="B13" i="4"/>
  <c r="B9" i="4"/>
  <c r="B8" i="4"/>
  <c r="B6" i="4"/>
  <c r="B5" i="4"/>
  <c r="B7" i="4" l="1"/>
</calcChain>
</file>

<file path=xl/sharedStrings.xml><?xml version="1.0" encoding="utf-8"?>
<sst xmlns="http://schemas.openxmlformats.org/spreadsheetml/2006/main" count="4379" uniqueCount="42">
  <si>
    <t>Year</t>
  </si>
  <si>
    <t>Month</t>
  </si>
  <si>
    <t>Product</t>
  </si>
  <si>
    <t>Region</t>
  </si>
  <si>
    <t>Units_Sold</t>
  </si>
  <si>
    <t>Unit_Price</t>
  </si>
  <si>
    <t>Revenue</t>
  </si>
  <si>
    <t>Profit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</si>
  <si>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</si>
  <si>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</si>
  <si>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</si>
  <si>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</si>
  <si>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</si>
  <si>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</si>
  <si>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</si>
  <si>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</si>
  <si>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</si>
  <si>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</si>
  <si>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</si>
  <si>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</si>
  <si>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Laptop</t>
  </si>
  <si>
    <t>Smartphone</t>
  </si>
  <si>
    <t>Headphones</t>
  </si>
  <si>
    <t>Tablet</t>
  </si>
  <si>
    <t>Smartwatch</t>
  </si>
  <si>
    <t>Monitor</t>
  </si>
  <si>
    <t>Accra</t>
  </si>
  <si>
    <t>Kumasi</t>
  </si>
  <si>
    <t>Takoradi</t>
  </si>
  <si>
    <t>Tamale</t>
  </si>
  <si>
    <t>Cape Coast</t>
  </si>
  <si>
    <t>Sales Performance Dashboard (2023–2024)</t>
  </si>
  <si>
    <t>Prepared by Emmanuel Nyamekye | Data Analyst</t>
  </si>
  <si>
    <t>KPI</t>
  </si>
  <si>
    <t>Value</t>
  </si>
  <si>
    <t>Total Revenue (2023)</t>
  </si>
  <si>
    <t>Total Revenue (2024)</t>
  </si>
  <si>
    <t>YoY Revenue Growth</t>
  </si>
  <si>
    <t>Total Profit (2024)</t>
  </si>
  <si>
    <t>Total Units Sold (2024)</t>
  </si>
  <si>
    <t>Revenue 2023</t>
  </si>
  <si>
    <t>Revenue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</si>
</sst>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[$GHS]\ #,##0.00"/>
    <numFmt numFmtId="166" formatCode="[$GHS]\ #,##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8"/>
      <name val="Calibri"/>
      <family val="2"/>
      <scheme val="minor"/>
    </font>
    <font>
      <i/>
      <sz val="10"/>
      <color rgb="FF4F81BD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0" borderId="0" xfId="0" applyFont="1"/>
    <xf numFmtId="3" fontId="4" fillId="0" borderId="0" xfId="0" applyNumberFormat="1" applyFont="1"/>
    <xf numFmtId="164" fontId="1" fillId="0" borderId="0" xfId="0" applyNumberFormat="1" applyFont="1"/>
    <xf numFmtId="165" fontId="1" fillId="2" borderId="0" xfId="0" applyNumberFormat="1" applyFont="1" applyFill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166" fontId="4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Revenue Trend (2023 vs 2024)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8898608377077866"/>
          <c:y val="0.11274626651817404"/>
          <c:w val="0.64969406167979005"/>
          <c:h val="0.61463381593429856"/>
        </c:manualLayout>
      </c:layout>
      <c:lineChart>
        <c:grouping val="standard"/>
        <c:varyColors val="0"/>
        <c:ser>
          <c:idx val="0"/>
          <c:order val="0"/>
          <c:tx>
            <c:v>Revenue 2023</c:v>
          </c:tx>
          <c:spPr>
            <a:ln>
              <a:solidFill>
                <a:srgbClr val="0070C0"/>
              </a:solidFill>
            </a:ln>
          </c:spPr>
          <c:marker>
            <c:symbol val="circle"/>
            <c:size val="5"/>
            <c:spPr>
              <a:ln>
                <a:solidFill>
                  <a:srgbClr val="0070C0"/>
                </a:solidFill>
              </a:ln>
            </c:spPr>
          </c:marker>
          <c:cat>
            <c:strRef>
              <c:f>Dashboard!$A$13:$A$24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Dashboard!$B$13:$B$24</c:f>
              <c:numCache>
                <c:formatCode>[$GHS]\ #,##0</c:formatCode>
                <c:ptCount val="12"/>
                <c:pt idx="0">
                  <c:v>4313733</c:v>
                </c:pt>
                <c:pt idx="1">
                  <c:v>4288707</c:v>
                </c:pt>
                <c:pt idx="2">
                  <c:v>4489193</c:v>
                </c:pt>
                <c:pt idx="3">
                  <c:v>4246964</c:v>
                </c:pt>
                <c:pt idx="4">
                  <c:v>3622260</c:v>
                </c:pt>
                <c:pt idx="5">
                  <c:v>4429129</c:v>
                </c:pt>
                <c:pt idx="6">
                  <c:v>3677579</c:v>
                </c:pt>
                <c:pt idx="7">
                  <c:v>3534129</c:v>
                </c:pt>
                <c:pt idx="8">
                  <c:v>3314291</c:v>
                </c:pt>
                <c:pt idx="9">
                  <c:v>3535624</c:v>
                </c:pt>
                <c:pt idx="10">
                  <c:v>4210436</c:v>
                </c:pt>
                <c:pt idx="11">
                  <c:v>3715058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F-4360-BFC5-C766ABADFA7B}"/>
            </c:ext>
          </c:extLst>
        </c:ser>
        <c:ser>
          <c:idx val="1"/>
          <c:order val="1"/>
          <c:tx>
            <c:v>Revenue 2024</c:v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diamond"/>
            <c:size val="5"/>
            <c:spPr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strRef>
              <c:f>Dashboard!$A$13:$A$24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Dashboard!$C$13:$C$24</c:f>
              <c:numCache>
                <c:formatCode>[$GHS]\ #,##0</c:formatCode>
                <c:ptCount val="12"/>
                <c:pt idx="0">
                  <c:v>4789433</c:v>
                </c:pt>
                <c:pt idx="1">
                  <c:v>4485492</c:v>
                </c:pt>
                <c:pt idx="2">
                  <c:v>4843903</c:v>
                </c:pt>
                <c:pt idx="3">
                  <c:v>4459527</c:v>
                </c:pt>
                <c:pt idx="4">
                  <c:v>4808177</c:v>
                </c:pt>
                <c:pt idx="5">
                  <c:v>5422597</c:v>
                </c:pt>
                <c:pt idx="6">
                  <c:v>4725081</c:v>
                </c:pt>
                <c:pt idx="7">
                  <c:v>4177835</c:v>
                </c:pt>
                <c:pt idx="8">
                  <c:v>4045739</c:v>
                </c:pt>
                <c:pt idx="9">
                  <c:v>4290260</c:v>
                </c:pt>
                <c:pt idx="10">
                  <c:v>4684859</c:v>
                </c:pt>
                <c:pt idx="11">
                  <c:v>4563126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BF-4360-BFC5-C766ABADF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Revenue</a:t>
                </a:r>
              </a:p>
            </c:rich>
          </c:tx>
          <c:overlay val="0"/>
        </c:title>
        <c:numFmt formatCode="[$GHS]\ #,##0" sourceLinked="1"/>
        <c:majorTickMark val="out"/>
        <c:minorTickMark val="none"/>
        <c:tickLblPos val="nextTo"/>
        <c:crossAx val="50010001"/>
        <c:crosses val="autoZero"/>
        <c:crossBetween val="between"/>
      </c:valAx>
      <c:spPr>
        <a:ln>
          <a:solidFill>
            <a:schemeClr val="bg1"/>
          </a:solidFill>
        </a:ln>
      </c:spPr>
    </c:plotArea>
    <c:legend>
      <c:legendPos val="r"/>
      <c:overlay val="0"/>
    </c:legend>
    <c:plotVisOnly val="1"/>
    <c:dispBlanksAs val="gap"/>
    <c:showDLblsOverMax val="0"/>
  </c:chart>
  <c:spPr>
    <a:solidFill>
      <a:schemeClr val="bg1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Revenue by Product (2024)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 by Product (2024)</c:v>
          </c:tx>
          <c:invertIfNegative val="0"/>
          <c:cat>
            <c:strRef>
              <c:f>Dashboard!$A$26:$A$31</c:f>
              <c:strCache>
                <c:ptCount val="6"/>
                <c:pt idx="0">
                  <c:v>Laptop</c:v>
                </c:pt>
                <c:pt idx="1">
                  <c:v>Smartphone</c:v>
                </c:pt>
                <c:pt idx="2">
                  <c:v>Headphones</c:v>
                </c:pt>
                <c:pt idx="3">
                  <c:v>Tablet</c:v>
                </c:pt>
                <c:pt idx="4">
                  <c:v>Smartwatch</c:v>
                </c:pt>
                <c:pt idx="5">
                  <c:v>Monitor</c:v>
                </c:pt>
              </c:strCache>
            </c:strRef>
          </c:cat>
          <c:val>
            <c:numRef>
              <c:f>Dashboard!$C$26:$C$31</c:f>
              <c:numCache>
                <c:formatCode>[$GHS]\ #,##0</c:formatCode>
                <c:ptCount val="6"/>
                <c:pt idx="0">
                  <c:v>19026511</c:v>
                </c:pt>
                <c:pt idx="1">
                  <c:v>13839406</c:v>
                </c:pt>
                <c:pt idx="2">
                  <c:v>1875940</c:v>
                </c:pt>
                <c:pt idx="3">
                  <c:v>10094084</c:v>
                </c:pt>
                <c:pt idx="4">
                  <c:v>4551089</c:v>
                </c:pt>
                <c:pt idx="5">
                  <c:v>5908999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9-4F52-A4DD-186585A57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[$GHS]\ #,##0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Revenue by Region (2024)</a:t>
            </a:r>
          </a:p>
        </c:rich>
      </c:tx>
      <c:layout>
        <c:manualLayout>
          <c:xMode val="edge"/>
          <c:yMode val="edge"/>
          <c:x val="0.1779722222222222"/>
          <c:y val="5.0925925925925923E-2"/>
        </c:manualLayout>
      </c:layout>
      <c:overlay val="0"/>
    </c:title>
    <c:autoTitleDeleted val="0"/>
    <c:plotArea>
      <c:layout/>
      <c:pieChart>
        <c:varyColors val="1"/>
        <c:ser>
          <c:idx val="0"/>
          <c:order val="0"/>
          <c:tx>
            <c:v>Revenue by Region (2024)</c:v>
          </c:tx>
          <c:dPt>
            <c:idx val="0"/>
            <c:bubble3D val="0"/>
            <c:spPr>
              <a:solidFill>
                <a:srgbClr val="7030A0"/>
              </a:solidFill>
            </c:spPr>
            <c:extLst>
              <c:ext xmlns:c16="http://schemas.microsoft.com/office/drawing/2014/chart" uri="{C3380CC4-5D6E-409C-BE32-E72D297353CC}">
                <c16:uniqueId val="{00000000-17F5-43AD-A36C-1BBB5E7173FD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1-17F5-43AD-A36C-1BBB5E7173F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2-17F5-43AD-A36C-1BBB5E7173F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3-17F5-43AD-A36C-1BBB5E7173FD}"/>
              </c:ext>
            </c:extLst>
          </c:dPt>
          <c:dPt>
            <c:idx val="4"/>
            <c:bubble3D val="0"/>
            <c:spPr>
              <a:solidFill>
                <a:srgbClr val="002060"/>
              </a:solidFill>
            </c:spPr>
            <c:extLst>
              <c:ext xmlns:c16="http://schemas.microsoft.com/office/drawing/2014/chart" uri="{C3380CC4-5D6E-409C-BE32-E72D297353CC}">
                <c16:uniqueId val="{00000004-17F5-43AD-A36C-1BBB5E7173FD}"/>
              </c:ext>
            </c:extLst>
          </c:dPt>
          <c:cat>
            <c:strRef>
              <c:f>Dashboard!$A$34:$A$38</c:f>
              <c:strCache>
                <c:ptCount val="5"/>
                <c:pt idx="0">
                  <c:v>Accra</c:v>
                </c:pt>
                <c:pt idx="1">
                  <c:v>Kumasi</c:v>
                </c:pt>
                <c:pt idx="2">
                  <c:v>Takoradi</c:v>
                </c:pt>
                <c:pt idx="3">
                  <c:v>Tamale</c:v>
                </c:pt>
                <c:pt idx="4">
                  <c:v>Cape Coast</c:v>
                </c:pt>
              </c:strCache>
            </c:strRef>
          </c:cat>
          <c:val>
            <c:numRef>
              <c:f>Dashboard!$C$34:$C$38</c:f>
              <c:numCache>
                <c:formatCode>[$GHS]\ #,##0</c:formatCode>
                <c:ptCount val="5"/>
                <c:pt idx="0">
                  <c:v>10639697</c:v>
                </c:pt>
                <c:pt idx="1">
                  <c:v>11383054</c:v>
                </c:pt>
                <c:pt idx="2">
                  <c:v>10766749</c:v>
                </c:pt>
                <c:pt idx="3">
                  <c:v>11818367</c:v>
                </c:pt>
                <c:pt idx="4">
                  <c:v>10688162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66-41E0-A001-8B11CEE94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</a:rPr>
              <a:t>Revenue by Region (2023</a:t>
            </a: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)</a:t>
            </a:r>
            <a:endParaRPr lang="en-US">
              <a:solidFill>
                <a:schemeClr val="dk1"/>
              </a:solidFill>
              <a:latin typeface="+mn-lt"/>
              <a:ea typeface="+mn-ea"/>
              <a:cs typeface="+mn-cs"/>
            </a:endParaRPr>
          </a:p>
        </c:rich>
      </c:tx>
      <c:layout>
        <c:manualLayout>
          <c:xMode val="edge"/>
          <c:yMode val="edge"/>
          <c:x val="0.3100137795275591"/>
          <c:y val="5.0925925925925923E-2"/>
        </c:manualLayout>
      </c:layout>
      <c:overlay val="0"/>
      <c:spPr>
        <a:solidFill>
          <a:schemeClr val="lt1"/>
        </a:solidFill>
        <a:ln w="25400" cap="flat" cmpd="sng" algn="ctr"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85627734033246"/>
          <c:y val="0.17171296296296296"/>
          <c:w val="0.51676356080489927"/>
          <c:h val="0.8282870370370369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7C-418D-9B7A-AA9B63B75846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E7C-418D-9B7A-AA9B63B7584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7C-418D-9B7A-AA9B63B75846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7C-418D-9B7A-AA9B63B75846}"/>
              </c:ext>
            </c:extLst>
          </c:dPt>
          <c:dPt>
            <c:idx val="4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E7C-418D-9B7A-AA9B63B75846}"/>
              </c:ext>
            </c:extLst>
          </c:dPt>
          <c:cat>
            <c:strRef>
              <c:f>Dashboard!$A$34:$A$38</c:f>
              <c:strCache>
                <c:ptCount val="5"/>
                <c:pt idx="0">
                  <c:v>Accra</c:v>
                </c:pt>
                <c:pt idx="1">
                  <c:v>Kumasi</c:v>
                </c:pt>
                <c:pt idx="2">
                  <c:v>Takoradi</c:v>
                </c:pt>
                <c:pt idx="3">
                  <c:v>Tamale</c:v>
                </c:pt>
                <c:pt idx="4">
                  <c:v>Cape Coast</c:v>
                </c:pt>
              </c:strCache>
            </c:strRef>
          </c:cat>
          <c:val>
            <c:numRef>
              <c:f>Dashboard!$B$34:$B$38</c:f>
              <c:numCache>
                <c:formatCode>[$GHS]\ #,##0.00</c:formatCode>
                <c:ptCount val="5"/>
                <c:pt idx="0">
                  <c:v>9106157</c:v>
                </c:pt>
                <c:pt idx="1">
                  <c:v>10109794</c:v>
                </c:pt>
                <c:pt idx="2">
                  <c:v>8165808</c:v>
                </c:pt>
                <c:pt idx="3">
                  <c:v>9798093</c:v>
                </c:pt>
                <c:pt idx="4">
                  <c:v>10197251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C-418D-9B7A-AA9B63B75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11</xdr:row>
      <xdr:rowOff>38100</xdr:rowOff>
    </xdr:from>
    <xdr:to>
      <xdr:col>11</xdr:col>
      <xdr:colOff>133350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33</xdr:row>
      <xdr:rowOff>66675</xdr:rowOff>
    </xdr:from>
    <xdr:to>
      <xdr:col>10</xdr:col>
      <xdr:colOff>771525</xdr:colOff>
      <xdr:row>49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352425</xdr:colOff>
      <xdr:row>11</xdr:row>
      <xdr:rowOff>95249</xdr:rowOff>
    </xdr:from>
    <xdr:to>
      <xdr:col>19</xdr:col>
      <xdr:colOff>47625</xdr:colOff>
      <xdr:row>26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523875</xdr:colOff>
      <xdr:row>29</xdr:row>
      <xdr:rowOff>114306</xdr:rowOff>
    </xdr:from>
    <xdr:to>
      <xdr:col>19</xdr:col>
      <xdr:colOff>219075</xdr:colOff>
      <xdr:row>44</xdr:row>
      <xdr:rowOff>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961639-1690-6ECE-0A38-95A7BF114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1"/>
  <sheetViews>
    <sheetView topLeftCell="A341" workbookViewId="0">
      <selection sqref="A1:A1048576"/>
    </sheetView>
  </sheetViews>
  <sheetFormatPr defaultRowHeight="15" x14ac:dyDescent="0.25"/>
  <cols>
    <col min="6" max="6" width="12.140625" style="10" bestFit="1" customWidth="1"/>
    <col min="7" max="8" width="14.28515625" style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9" t="s">
        <v>6</v>
      </c>
      <c r="H1" s="9" t="s">
        <v>7</v>
      </c>
    </row>
    <row r="2" spans="1:8" x14ac:dyDescent="0.25">
      <c r="A2">
        <v>2023</v>
      </c>
      <c r="B2" t="s">
        <v>8</v>
      </c>
      <c r="C2" t="s">
        <v>20</v>
      </c>
      <c r="D2" t="s">
        <v>26</v>
      </c>
      <c r="E2">
        <v>186</v>
      </c>
      <c r="F2" s="10">
        <v>1318</v>
      </c>
      <c r="G2" s="10">
        <v>245148</v>
      </c>
      <c r="H2" s="10">
        <v>31260</v>
      </c>
    </row>
    <row r="3" spans="1:8" x14ac:dyDescent="0.25">
      <c r="A3">
        <v>2023</v>
      </c>
      <c r="B3" t="s">
        <v>8</v>
      </c>
      <c r="C3" t="s">
        <v>20</v>
      </c>
      <c r="D3" t="s">
        <v>27</v>
      </c>
      <c r="E3">
        <v>154</v>
      </c>
      <c r="F3" s="10">
        <v>1259</v>
      </c>
      <c r="G3" s="10">
        <v>193886</v>
      </c>
      <c r="H3" s="10">
        <v>23926</v>
      </c>
    </row>
    <row r="4" spans="1:8" x14ac:dyDescent="0.25">
      <c r="A4">
        <v>2023</v>
      </c>
      <c r="B4" t="s">
        <v>8</v>
      </c>
      <c r="C4" t="s">
        <v>20</v>
      </c>
      <c r="D4" t="s">
        <v>28</v>
      </c>
      <c r="E4">
        <v>301</v>
      </c>
      <c r="F4" s="10">
        <v>1097</v>
      </c>
      <c r="G4" s="10">
        <v>330197</v>
      </c>
      <c r="H4" s="10">
        <v>75921</v>
      </c>
    </row>
    <row r="5" spans="1:8" x14ac:dyDescent="0.25">
      <c r="A5">
        <v>2023</v>
      </c>
      <c r="B5" t="s">
        <v>8</v>
      </c>
      <c r="C5" t="s">
        <v>20</v>
      </c>
      <c r="D5" t="s">
        <v>29</v>
      </c>
      <c r="E5">
        <v>183</v>
      </c>
      <c r="F5" s="10">
        <v>1122</v>
      </c>
      <c r="G5" s="10">
        <v>205326</v>
      </c>
      <c r="H5" s="10">
        <v>40579</v>
      </c>
    </row>
    <row r="6" spans="1:8" x14ac:dyDescent="0.25">
      <c r="A6">
        <v>2023</v>
      </c>
      <c r="B6" t="s">
        <v>8</v>
      </c>
      <c r="C6" t="s">
        <v>20</v>
      </c>
      <c r="D6" t="s">
        <v>30</v>
      </c>
      <c r="E6">
        <v>397</v>
      </c>
      <c r="F6" s="10">
        <v>1370</v>
      </c>
      <c r="G6" s="10">
        <v>543890</v>
      </c>
      <c r="H6" s="10">
        <v>122302</v>
      </c>
    </row>
    <row r="7" spans="1:8" x14ac:dyDescent="0.25">
      <c r="A7">
        <v>2023</v>
      </c>
      <c r="B7" t="s">
        <v>8</v>
      </c>
      <c r="C7" t="s">
        <v>21</v>
      </c>
      <c r="D7" t="s">
        <v>26</v>
      </c>
      <c r="E7">
        <v>382</v>
      </c>
      <c r="F7" s="10">
        <v>720</v>
      </c>
      <c r="G7" s="10">
        <v>275040</v>
      </c>
      <c r="H7" s="10">
        <v>68438</v>
      </c>
    </row>
    <row r="8" spans="1:8" x14ac:dyDescent="0.25">
      <c r="A8">
        <v>2023</v>
      </c>
      <c r="B8" t="s">
        <v>8</v>
      </c>
      <c r="C8" t="s">
        <v>21</v>
      </c>
      <c r="D8" t="s">
        <v>27</v>
      </c>
      <c r="E8">
        <v>245</v>
      </c>
      <c r="F8" s="10">
        <v>780</v>
      </c>
      <c r="G8" s="10">
        <v>191100</v>
      </c>
      <c r="H8" s="10">
        <v>34152</v>
      </c>
    </row>
    <row r="9" spans="1:8" x14ac:dyDescent="0.25">
      <c r="A9">
        <v>2023</v>
      </c>
      <c r="B9" t="s">
        <v>8</v>
      </c>
      <c r="C9" t="s">
        <v>21</v>
      </c>
      <c r="D9" t="s">
        <v>28</v>
      </c>
      <c r="E9">
        <v>322</v>
      </c>
      <c r="F9" s="10">
        <v>724</v>
      </c>
      <c r="G9" s="10">
        <v>233128</v>
      </c>
      <c r="H9" s="10">
        <v>41663</v>
      </c>
    </row>
    <row r="10" spans="1:8" x14ac:dyDescent="0.25">
      <c r="A10">
        <v>2023</v>
      </c>
      <c r="B10" t="s">
        <v>8</v>
      </c>
      <c r="C10" t="s">
        <v>21</v>
      </c>
      <c r="D10" t="s">
        <v>29</v>
      </c>
      <c r="E10">
        <v>255</v>
      </c>
      <c r="F10" s="10">
        <v>729</v>
      </c>
      <c r="G10" s="10">
        <v>185895</v>
      </c>
      <c r="H10" s="10">
        <v>45741</v>
      </c>
    </row>
    <row r="11" spans="1:8" x14ac:dyDescent="0.25">
      <c r="A11">
        <v>2023</v>
      </c>
      <c r="B11" t="s">
        <v>8</v>
      </c>
      <c r="C11" t="s">
        <v>21</v>
      </c>
      <c r="D11" t="s">
        <v>30</v>
      </c>
      <c r="E11">
        <v>358</v>
      </c>
      <c r="F11" s="10">
        <v>811</v>
      </c>
      <c r="G11" s="10">
        <v>290338</v>
      </c>
      <c r="H11" s="10">
        <v>63228</v>
      </c>
    </row>
    <row r="12" spans="1:8" x14ac:dyDescent="0.25">
      <c r="A12">
        <v>2023</v>
      </c>
      <c r="B12" t="s">
        <v>8</v>
      </c>
      <c r="C12" t="s">
        <v>22</v>
      </c>
      <c r="D12" t="s">
        <v>26</v>
      </c>
      <c r="E12">
        <v>133</v>
      </c>
      <c r="F12" s="10">
        <v>119</v>
      </c>
      <c r="G12" s="10">
        <v>15827</v>
      </c>
      <c r="H12" s="10">
        <v>3916</v>
      </c>
    </row>
    <row r="13" spans="1:8" x14ac:dyDescent="0.25">
      <c r="A13">
        <v>2023</v>
      </c>
      <c r="B13" t="s">
        <v>8</v>
      </c>
      <c r="C13" t="s">
        <v>22</v>
      </c>
      <c r="D13" t="s">
        <v>27</v>
      </c>
      <c r="E13">
        <v>215</v>
      </c>
      <c r="F13" s="10">
        <v>133</v>
      </c>
      <c r="G13" s="10">
        <v>28595</v>
      </c>
      <c r="H13" s="10">
        <v>5777</v>
      </c>
    </row>
    <row r="14" spans="1:8" x14ac:dyDescent="0.25">
      <c r="A14">
        <v>2023</v>
      </c>
      <c r="B14" t="s">
        <v>8</v>
      </c>
      <c r="C14" t="s">
        <v>22</v>
      </c>
      <c r="D14" t="s">
        <v>28</v>
      </c>
      <c r="E14">
        <v>252</v>
      </c>
      <c r="F14" s="10">
        <v>108</v>
      </c>
      <c r="G14" s="10">
        <v>27216</v>
      </c>
      <c r="H14" s="10">
        <v>6568</v>
      </c>
    </row>
    <row r="15" spans="1:8" x14ac:dyDescent="0.25">
      <c r="A15">
        <v>2023</v>
      </c>
      <c r="B15" t="s">
        <v>8</v>
      </c>
      <c r="C15" t="s">
        <v>22</v>
      </c>
      <c r="D15" t="s">
        <v>29</v>
      </c>
      <c r="E15">
        <v>95</v>
      </c>
      <c r="F15" s="10">
        <v>132</v>
      </c>
      <c r="G15" s="10">
        <v>12540</v>
      </c>
      <c r="H15" s="10">
        <v>1826</v>
      </c>
    </row>
    <row r="16" spans="1:8" x14ac:dyDescent="0.25">
      <c r="A16">
        <v>2023</v>
      </c>
      <c r="B16" t="s">
        <v>8</v>
      </c>
      <c r="C16" t="s">
        <v>22</v>
      </c>
      <c r="D16" t="s">
        <v>30</v>
      </c>
      <c r="E16">
        <v>135</v>
      </c>
      <c r="F16" s="10">
        <v>114</v>
      </c>
      <c r="G16" s="10">
        <v>15390</v>
      </c>
      <c r="H16" s="10">
        <v>2095</v>
      </c>
    </row>
    <row r="17" spans="1:8" x14ac:dyDescent="0.25">
      <c r="A17">
        <v>2023</v>
      </c>
      <c r="B17" t="s">
        <v>8</v>
      </c>
      <c r="C17" t="s">
        <v>23</v>
      </c>
      <c r="D17" t="s">
        <v>26</v>
      </c>
      <c r="E17">
        <v>351</v>
      </c>
      <c r="F17" s="10">
        <v>545</v>
      </c>
      <c r="G17" s="10">
        <v>191295</v>
      </c>
      <c r="H17" s="10">
        <v>45221</v>
      </c>
    </row>
    <row r="18" spans="1:8" x14ac:dyDescent="0.25">
      <c r="A18">
        <v>2023</v>
      </c>
      <c r="B18" t="s">
        <v>8</v>
      </c>
      <c r="C18" t="s">
        <v>23</v>
      </c>
      <c r="D18" t="s">
        <v>27</v>
      </c>
      <c r="E18">
        <v>132</v>
      </c>
      <c r="F18" s="10">
        <v>639</v>
      </c>
      <c r="G18" s="10">
        <v>84348</v>
      </c>
      <c r="H18" s="10">
        <v>12378</v>
      </c>
    </row>
    <row r="19" spans="1:8" x14ac:dyDescent="0.25">
      <c r="A19">
        <v>2023</v>
      </c>
      <c r="B19" t="s">
        <v>8</v>
      </c>
      <c r="C19" t="s">
        <v>23</v>
      </c>
      <c r="D19" t="s">
        <v>28</v>
      </c>
      <c r="E19">
        <v>136</v>
      </c>
      <c r="F19" s="10">
        <v>622</v>
      </c>
      <c r="G19" s="10">
        <v>84592</v>
      </c>
      <c r="H19" s="10">
        <v>10804</v>
      </c>
    </row>
    <row r="20" spans="1:8" x14ac:dyDescent="0.25">
      <c r="A20">
        <v>2023</v>
      </c>
      <c r="B20" t="s">
        <v>8</v>
      </c>
      <c r="C20" t="s">
        <v>23</v>
      </c>
      <c r="D20" t="s">
        <v>29</v>
      </c>
      <c r="E20">
        <v>276</v>
      </c>
      <c r="F20" s="10">
        <v>666</v>
      </c>
      <c r="G20" s="10">
        <v>183816</v>
      </c>
      <c r="H20" s="10">
        <v>30782</v>
      </c>
    </row>
    <row r="21" spans="1:8" x14ac:dyDescent="0.25">
      <c r="A21">
        <v>2023</v>
      </c>
      <c r="B21" t="s">
        <v>8</v>
      </c>
      <c r="C21" t="s">
        <v>23</v>
      </c>
      <c r="D21" t="s">
        <v>30</v>
      </c>
      <c r="E21">
        <v>288</v>
      </c>
      <c r="F21" s="10">
        <v>674</v>
      </c>
      <c r="G21" s="10">
        <v>194112</v>
      </c>
      <c r="H21" s="10">
        <v>36820</v>
      </c>
    </row>
    <row r="22" spans="1:8" x14ac:dyDescent="0.25">
      <c r="A22">
        <v>2023</v>
      </c>
      <c r="B22" t="s">
        <v>8</v>
      </c>
      <c r="C22" t="s">
        <v>24</v>
      </c>
      <c r="D22" t="s">
        <v>26</v>
      </c>
      <c r="E22">
        <v>392</v>
      </c>
      <c r="F22" s="10">
        <v>245</v>
      </c>
      <c r="G22" s="10">
        <v>96040</v>
      </c>
      <c r="H22" s="10">
        <v>17821</v>
      </c>
    </row>
    <row r="23" spans="1:8" x14ac:dyDescent="0.25">
      <c r="A23">
        <v>2023</v>
      </c>
      <c r="B23" t="s">
        <v>8</v>
      </c>
      <c r="C23" t="s">
        <v>24</v>
      </c>
      <c r="D23" t="s">
        <v>27</v>
      </c>
      <c r="E23">
        <v>339</v>
      </c>
      <c r="F23" s="10">
        <v>227</v>
      </c>
      <c r="G23" s="10">
        <v>76953</v>
      </c>
      <c r="H23" s="10">
        <v>11450</v>
      </c>
    </row>
    <row r="24" spans="1:8" x14ac:dyDescent="0.25">
      <c r="A24">
        <v>2023</v>
      </c>
      <c r="B24" t="s">
        <v>8</v>
      </c>
      <c r="C24" t="s">
        <v>24</v>
      </c>
      <c r="D24" t="s">
        <v>28</v>
      </c>
      <c r="E24">
        <v>294</v>
      </c>
      <c r="F24" s="10">
        <v>271</v>
      </c>
      <c r="G24" s="10">
        <v>79674</v>
      </c>
      <c r="H24" s="10">
        <v>14417</v>
      </c>
    </row>
    <row r="25" spans="1:8" x14ac:dyDescent="0.25">
      <c r="A25">
        <v>2023</v>
      </c>
      <c r="B25" t="s">
        <v>8</v>
      </c>
      <c r="C25" t="s">
        <v>24</v>
      </c>
      <c r="D25" t="s">
        <v>29</v>
      </c>
      <c r="E25">
        <v>367</v>
      </c>
      <c r="F25" s="10">
        <v>247</v>
      </c>
      <c r="G25" s="10">
        <v>90649</v>
      </c>
      <c r="H25" s="10">
        <v>12884</v>
      </c>
    </row>
    <row r="26" spans="1:8" x14ac:dyDescent="0.25">
      <c r="A26">
        <v>2023</v>
      </c>
      <c r="B26" t="s">
        <v>8</v>
      </c>
      <c r="C26" t="s">
        <v>24</v>
      </c>
      <c r="D26" t="s">
        <v>30</v>
      </c>
      <c r="E26">
        <v>122</v>
      </c>
      <c r="F26" s="10">
        <v>243</v>
      </c>
      <c r="G26" s="10">
        <v>29646</v>
      </c>
      <c r="H26" s="10">
        <v>3699</v>
      </c>
    </row>
    <row r="27" spans="1:8" x14ac:dyDescent="0.25">
      <c r="A27">
        <v>2023</v>
      </c>
      <c r="B27" t="s">
        <v>8</v>
      </c>
      <c r="C27" t="s">
        <v>25</v>
      </c>
      <c r="D27" t="s">
        <v>26</v>
      </c>
      <c r="E27">
        <v>90</v>
      </c>
      <c r="F27" s="10">
        <v>382</v>
      </c>
      <c r="G27" s="10">
        <v>34380</v>
      </c>
      <c r="H27" s="10">
        <v>4462</v>
      </c>
    </row>
    <row r="28" spans="1:8" x14ac:dyDescent="0.25">
      <c r="A28">
        <v>2023</v>
      </c>
      <c r="B28" t="s">
        <v>8</v>
      </c>
      <c r="C28" t="s">
        <v>25</v>
      </c>
      <c r="D28" t="s">
        <v>27</v>
      </c>
      <c r="E28">
        <v>145</v>
      </c>
      <c r="F28" s="10">
        <v>386</v>
      </c>
      <c r="G28" s="10">
        <v>55970</v>
      </c>
      <c r="H28" s="10">
        <v>11531</v>
      </c>
    </row>
    <row r="29" spans="1:8" x14ac:dyDescent="0.25">
      <c r="A29">
        <v>2023</v>
      </c>
      <c r="B29" t="s">
        <v>8</v>
      </c>
      <c r="C29" t="s">
        <v>25</v>
      </c>
      <c r="D29" t="s">
        <v>28</v>
      </c>
      <c r="E29">
        <v>248</v>
      </c>
      <c r="F29" s="10">
        <v>384</v>
      </c>
      <c r="G29" s="10">
        <v>95232</v>
      </c>
      <c r="H29" s="10">
        <v>18179</v>
      </c>
    </row>
    <row r="30" spans="1:8" x14ac:dyDescent="0.25">
      <c r="A30">
        <v>2023</v>
      </c>
      <c r="B30" t="s">
        <v>8</v>
      </c>
      <c r="C30" t="s">
        <v>25</v>
      </c>
      <c r="D30" t="s">
        <v>29</v>
      </c>
      <c r="E30">
        <v>317</v>
      </c>
      <c r="F30" s="10">
        <v>371</v>
      </c>
      <c r="G30" s="10">
        <v>117607</v>
      </c>
      <c r="H30" s="10">
        <v>27901</v>
      </c>
    </row>
    <row r="31" spans="1:8" x14ac:dyDescent="0.25">
      <c r="A31">
        <v>2023</v>
      </c>
      <c r="B31" t="s">
        <v>8</v>
      </c>
      <c r="C31" t="s">
        <v>25</v>
      </c>
      <c r="D31" t="s">
        <v>30</v>
      </c>
      <c r="E31">
        <v>287</v>
      </c>
      <c r="F31" s="10">
        <v>369</v>
      </c>
      <c r="G31" s="10">
        <v>105903</v>
      </c>
      <c r="H31" s="10">
        <v>15846</v>
      </c>
    </row>
    <row r="32" spans="1:8" x14ac:dyDescent="0.25">
      <c r="A32">
        <v>2023</v>
      </c>
      <c r="B32" t="s">
        <v>9</v>
      </c>
      <c r="C32" t="s">
        <v>20</v>
      </c>
      <c r="D32" t="s">
        <v>26</v>
      </c>
      <c r="E32">
        <v>132</v>
      </c>
      <c r="F32" s="10">
        <v>1191</v>
      </c>
      <c r="G32" s="10">
        <v>157212</v>
      </c>
      <c r="H32" s="10">
        <v>31493</v>
      </c>
    </row>
    <row r="33" spans="1:8" x14ac:dyDescent="0.25">
      <c r="A33">
        <v>2023</v>
      </c>
      <c r="B33" t="s">
        <v>9</v>
      </c>
      <c r="C33" t="s">
        <v>20</v>
      </c>
      <c r="D33" t="s">
        <v>27</v>
      </c>
      <c r="E33">
        <v>388</v>
      </c>
      <c r="F33" s="10">
        <v>1298</v>
      </c>
      <c r="G33" s="10">
        <v>503624</v>
      </c>
      <c r="H33" s="10">
        <v>98525</v>
      </c>
    </row>
    <row r="34" spans="1:8" x14ac:dyDescent="0.25">
      <c r="A34">
        <v>2023</v>
      </c>
      <c r="B34" t="s">
        <v>9</v>
      </c>
      <c r="C34" t="s">
        <v>20</v>
      </c>
      <c r="D34" t="s">
        <v>28</v>
      </c>
      <c r="E34">
        <v>118</v>
      </c>
      <c r="F34" s="10">
        <v>1221</v>
      </c>
      <c r="G34" s="10">
        <v>144078</v>
      </c>
      <c r="H34" s="10">
        <v>16992</v>
      </c>
    </row>
    <row r="35" spans="1:8" x14ac:dyDescent="0.25">
      <c r="A35">
        <v>2023</v>
      </c>
      <c r="B35" t="s">
        <v>9</v>
      </c>
      <c r="C35" t="s">
        <v>20</v>
      </c>
      <c r="D35" t="s">
        <v>29</v>
      </c>
      <c r="E35">
        <v>219</v>
      </c>
      <c r="F35" s="10">
        <v>1308</v>
      </c>
      <c r="G35" s="10">
        <v>286452</v>
      </c>
      <c r="H35" s="10">
        <v>52762</v>
      </c>
    </row>
    <row r="36" spans="1:8" x14ac:dyDescent="0.25">
      <c r="A36">
        <v>2023</v>
      </c>
      <c r="B36" t="s">
        <v>9</v>
      </c>
      <c r="C36" t="s">
        <v>20</v>
      </c>
      <c r="D36" t="s">
        <v>30</v>
      </c>
      <c r="E36">
        <v>348</v>
      </c>
      <c r="F36" s="10">
        <v>1156</v>
      </c>
      <c r="G36" s="10">
        <v>402288</v>
      </c>
      <c r="H36" s="10">
        <v>42668</v>
      </c>
    </row>
    <row r="37" spans="1:8" x14ac:dyDescent="0.25">
      <c r="A37">
        <v>2023</v>
      </c>
      <c r="B37" t="s">
        <v>9</v>
      </c>
      <c r="C37" t="s">
        <v>21</v>
      </c>
      <c r="D37" t="s">
        <v>26</v>
      </c>
      <c r="E37">
        <v>298</v>
      </c>
      <c r="F37" s="10">
        <v>805</v>
      </c>
      <c r="G37" s="10">
        <v>239890</v>
      </c>
      <c r="H37" s="10">
        <v>24903</v>
      </c>
    </row>
    <row r="38" spans="1:8" x14ac:dyDescent="0.25">
      <c r="A38">
        <v>2023</v>
      </c>
      <c r="B38" t="s">
        <v>9</v>
      </c>
      <c r="C38" t="s">
        <v>21</v>
      </c>
      <c r="D38" t="s">
        <v>27</v>
      </c>
      <c r="E38">
        <v>269</v>
      </c>
      <c r="F38" s="10">
        <v>726</v>
      </c>
      <c r="G38" s="10">
        <v>195294</v>
      </c>
      <c r="H38" s="10">
        <v>38172</v>
      </c>
    </row>
    <row r="39" spans="1:8" x14ac:dyDescent="0.25">
      <c r="A39">
        <v>2023</v>
      </c>
      <c r="B39" t="s">
        <v>9</v>
      </c>
      <c r="C39" t="s">
        <v>21</v>
      </c>
      <c r="D39" t="s">
        <v>28</v>
      </c>
      <c r="E39">
        <v>136</v>
      </c>
      <c r="F39" s="10">
        <v>832</v>
      </c>
      <c r="G39" s="10">
        <v>113152</v>
      </c>
      <c r="H39" s="10">
        <v>23120</v>
      </c>
    </row>
    <row r="40" spans="1:8" x14ac:dyDescent="0.25">
      <c r="A40">
        <v>2023</v>
      </c>
      <c r="B40" t="s">
        <v>9</v>
      </c>
      <c r="C40" t="s">
        <v>21</v>
      </c>
      <c r="D40" t="s">
        <v>29</v>
      </c>
      <c r="E40">
        <v>323</v>
      </c>
      <c r="F40" s="10">
        <v>802</v>
      </c>
      <c r="G40" s="10">
        <v>259046</v>
      </c>
      <c r="H40" s="10">
        <v>55262</v>
      </c>
    </row>
    <row r="41" spans="1:8" x14ac:dyDescent="0.25">
      <c r="A41">
        <v>2023</v>
      </c>
      <c r="B41" t="s">
        <v>9</v>
      </c>
      <c r="C41" t="s">
        <v>21</v>
      </c>
      <c r="D41" t="s">
        <v>30</v>
      </c>
      <c r="E41">
        <v>119</v>
      </c>
      <c r="F41" s="10">
        <v>908</v>
      </c>
      <c r="G41" s="10">
        <v>108052</v>
      </c>
      <c r="H41" s="10">
        <v>20511</v>
      </c>
    </row>
    <row r="42" spans="1:8" x14ac:dyDescent="0.25">
      <c r="A42">
        <v>2023</v>
      </c>
      <c r="B42" t="s">
        <v>9</v>
      </c>
      <c r="C42" t="s">
        <v>22</v>
      </c>
      <c r="D42" t="s">
        <v>26</v>
      </c>
      <c r="E42">
        <v>335</v>
      </c>
      <c r="F42" s="10">
        <v>112</v>
      </c>
      <c r="G42" s="10">
        <v>37520</v>
      </c>
      <c r="H42" s="10">
        <v>8984</v>
      </c>
    </row>
    <row r="43" spans="1:8" x14ac:dyDescent="0.25">
      <c r="A43">
        <v>2023</v>
      </c>
      <c r="B43" t="s">
        <v>9</v>
      </c>
      <c r="C43" t="s">
        <v>22</v>
      </c>
      <c r="D43" t="s">
        <v>27</v>
      </c>
      <c r="E43">
        <v>129</v>
      </c>
      <c r="F43" s="10">
        <v>116</v>
      </c>
      <c r="G43" s="10">
        <v>14964</v>
      </c>
      <c r="H43" s="10">
        <v>1733</v>
      </c>
    </row>
    <row r="44" spans="1:8" x14ac:dyDescent="0.25">
      <c r="A44">
        <v>2023</v>
      </c>
      <c r="B44" t="s">
        <v>9</v>
      </c>
      <c r="C44" t="s">
        <v>22</v>
      </c>
      <c r="D44" t="s">
        <v>28</v>
      </c>
      <c r="E44">
        <v>378</v>
      </c>
      <c r="F44" s="10">
        <v>132</v>
      </c>
      <c r="G44" s="10">
        <v>49896</v>
      </c>
      <c r="H44" s="10">
        <v>6385</v>
      </c>
    </row>
    <row r="45" spans="1:8" x14ac:dyDescent="0.25">
      <c r="A45">
        <v>2023</v>
      </c>
      <c r="B45" t="s">
        <v>9</v>
      </c>
      <c r="C45" t="s">
        <v>22</v>
      </c>
      <c r="D45" t="s">
        <v>29</v>
      </c>
      <c r="E45">
        <v>380</v>
      </c>
      <c r="F45" s="10">
        <v>134</v>
      </c>
      <c r="G45" s="10">
        <v>50920</v>
      </c>
      <c r="H45" s="10">
        <v>7569</v>
      </c>
    </row>
    <row r="46" spans="1:8" x14ac:dyDescent="0.25">
      <c r="A46">
        <v>2023</v>
      </c>
      <c r="B46" t="s">
        <v>9</v>
      </c>
      <c r="C46" t="s">
        <v>22</v>
      </c>
      <c r="D46" t="s">
        <v>30</v>
      </c>
      <c r="E46">
        <v>323</v>
      </c>
      <c r="F46" s="10">
        <v>135</v>
      </c>
      <c r="G46" s="10">
        <v>43605</v>
      </c>
      <c r="H46" s="10">
        <v>6140</v>
      </c>
    </row>
    <row r="47" spans="1:8" x14ac:dyDescent="0.25">
      <c r="A47">
        <v>2023</v>
      </c>
      <c r="B47" t="s">
        <v>9</v>
      </c>
      <c r="C47" t="s">
        <v>23</v>
      </c>
      <c r="D47" t="s">
        <v>26</v>
      </c>
      <c r="E47">
        <v>377</v>
      </c>
      <c r="F47" s="10">
        <v>604</v>
      </c>
      <c r="G47" s="10">
        <v>227708</v>
      </c>
      <c r="H47" s="10">
        <v>50711</v>
      </c>
    </row>
    <row r="48" spans="1:8" x14ac:dyDescent="0.25">
      <c r="A48">
        <v>2023</v>
      </c>
      <c r="B48" t="s">
        <v>9</v>
      </c>
      <c r="C48" t="s">
        <v>23</v>
      </c>
      <c r="D48" t="s">
        <v>27</v>
      </c>
      <c r="E48">
        <v>325</v>
      </c>
      <c r="F48" s="10">
        <v>585</v>
      </c>
      <c r="G48" s="10">
        <v>190125</v>
      </c>
      <c r="H48" s="10">
        <v>23708</v>
      </c>
    </row>
    <row r="49" spans="1:8" x14ac:dyDescent="0.25">
      <c r="A49">
        <v>2023</v>
      </c>
      <c r="B49" t="s">
        <v>9</v>
      </c>
      <c r="C49" t="s">
        <v>23</v>
      </c>
      <c r="D49" t="s">
        <v>28</v>
      </c>
      <c r="E49">
        <v>225</v>
      </c>
      <c r="F49" s="10">
        <v>612</v>
      </c>
      <c r="G49" s="10">
        <v>137700</v>
      </c>
      <c r="H49" s="10">
        <v>28072</v>
      </c>
    </row>
    <row r="50" spans="1:8" x14ac:dyDescent="0.25">
      <c r="A50">
        <v>2023</v>
      </c>
      <c r="B50" t="s">
        <v>9</v>
      </c>
      <c r="C50" t="s">
        <v>23</v>
      </c>
      <c r="D50" t="s">
        <v>29</v>
      </c>
      <c r="E50">
        <v>326</v>
      </c>
      <c r="F50" s="10">
        <v>590</v>
      </c>
      <c r="G50" s="10">
        <v>192340</v>
      </c>
      <c r="H50" s="10">
        <v>46437</v>
      </c>
    </row>
    <row r="51" spans="1:8" x14ac:dyDescent="0.25">
      <c r="A51">
        <v>2023</v>
      </c>
      <c r="B51" t="s">
        <v>9</v>
      </c>
      <c r="C51" t="s">
        <v>23</v>
      </c>
      <c r="D51" t="s">
        <v>30</v>
      </c>
      <c r="E51">
        <v>249</v>
      </c>
      <c r="F51" s="10">
        <v>617</v>
      </c>
      <c r="G51" s="10">
        <v>153633</v>
      </c>
      <c r="H51" s="10">
        <v>31564</v>
      </c>
    </row>
    <row r="52" spans="1:8" x14ac:dyDescent="0.25">
      <c r="A52">
        <v>2023</v>
      </c>
      <c r="B52" t="s">
        <v>9</v>
      </c>
      <c r="C52" t="s">
        <v>24</v>
      </c>
      <c r="D52" t="s">
        <v>26</v>
      </c>
      <c r="E52">
        <v>200</v>
      </c>
      <c r="F52" s="10">
        <v>229</v>
      </c>
      <c r="G52" s="10">
        <v>45800</v>
      </c>
      <c r="H52" s="10">
        <v>6324</v>
      </c>
    </row>
    <row r="53" spans="1:8" x14ac:dyDescent="0.25">
      <c r="A53">
        <v>2023</v>
      </c>
      <c r="B53" t="s">
        <v>9</v>
      </c>
      <c r="C53" t="s">
        <v>24</v>
      </c>
      <c r="D53" t="s">
        <v>27</v>
      </c>
      <c r="E53">
        <v>362</v>
      </c>
      <c r="F53" s="10">
        <v>240</v>
      </c>
      <c r="G53" s="10">
        <v>86880</v>
      </c>
      <c r="H53" s="10">
        <v>15168</v>
      </c>
    </row>
    <row r="54" spans="1:8" x14ac:dyDescent="0.25">
      <c r="A54">
        <v>2023</v>
      </c>
      <c r="B54" t="s">
        <v>9</v>
      </c>
      <c r="C54" t="s">
        <v>24</v>
      </c>
      <c r="D54" t="s">
        <v>28</v>
      </c>
      <c r="E54">
        <v>200</v>
      </c>
      <c r="F54" s="10">
        <v>234</v>
      </c>
      <c r="G54" s="10">
        <v>46800</v>
      </c>
      <c r="H54" s="10">
        <v>11684</v>
      </c>
    </row>
    <row r="55" spans="1:8" x14ac:dyDescent="0.25">
      <c r="A55">
        <v>2023</v>
      </c>
      <c r="B55" t="s">
        <v>9</v>
      </c>
      <c r="C55" t="s">
        <v>24</v>
      </c>
      <c r="D55" t="s">
        <v>29</v>
      </c>
      <c r="E55">
        <v>277</v>
      </c>
      <c r="F55" s="10">
        <v>263</v>
      </c>
      <c r="G55" s="10">
        <v>72851</v>
      </c>
      <c r="H55" s="10">
        <v>12778</v>
      </c>
    </row>
    <row r="56" spans="1:8" x14ac:dyDescent="0.25">
      <c r="A56">
        <v>2023</v>
      </c>
      <c r="B56" t="s">
        <v>9</v>
      </c>
      <c r="C56" t="s">
        <v>24</v>
      </c>
      <c r="D56" t="s">
        <v>30</v>
      </c>
      <c r="E56">
        <v>138</v>
      </c>
      <c r="F56" s="10">
        <v>227</v>
      </c>
      <c r="G56" s="10">
        <v>31326</v>
      </c>
      <c r="H56" s="10">
        <v>4754</v>
      </c>
    </row>
    <row r="57" spans="1:8" x14ac:dyDescent="0.25">
      <c r="A57">
        <v>2023</v>
      </c>
      <c r="B57" t="s">
        <v>9</v>
      </c>
      <c r="C57" t="s">
        <v>25</v>
      </c>
      <c r="D57" t="s">
        <v>26</v>
      </c>
      <c r="E57">
        <v>213</v>
      </c>
      <c r="F57" s="10">
        <v>327</v>
      </c>
      <c r="G57" s="10">
        <v>69651</v>
      </c>
      <c r="H57" s="10">
        <v>12078</v>
      </c>
    </row>
    <row r="58" spans="1:8" x14ac:dyDescent="0.25">
      <c r="A58">
        <v>2023</v>
      </c>
      <c r="B58" t="s">
        <v>9</v>
      </c>
      <c r="C58" t="s">
        <v>25</v>
      </c>
      <c r="D58" t="s">
        <v>27</v>
      </c>
      <c r="E58">
        <v>249</v>
      </c>
      <c r="F58" s="10">
        <v>363</v>
      </c>
      <c r="G58" s="10">
        <v>90387</v>
      </c>
      <c r="H58" s="10">
        <v>17074</v>
      </c>
    </row>
    <row r="59" spans="1:8" x14ac:dyDescent="0.25">
      <c r="A59">
        <v>2023</v>
      </c>
      <c r="B59" t="s">
        <v>9</v>
      </c>
      <c r="C59" t="s">
        <v>25</v>
      </c>
      <c r="D59" t="s">
        <v>28</v>
      </c>
      <c r="E59">
        <v>294</v>
      </c>
      <c r="F59" s="10">
        <v>347</v>
      </c>
      <c r="G59" s="10">
        <v>102018</v>
      </c>
      <c r="H59" s="10">
        <v>13907</v>
      </c>
    </row>
    <row r="60" spans="1:8" x14ac:dyDescent="0.25">
      <c r="A60">
        <v>2023</v>
      </c>
      <c r="B60" t="s">
        <v>9</v>
      </c>
      <c r="C60" t="s">
        <v>25</v>
      </c>
      <c r="D60" t="s">
        <v>29</v>
      </c>
      <c r="E60">
        <v>389</v>
      </c>
      <c r="F60" s="10">
        <v>347</v>
      </c>
      <c r="G60" s="10">
        <v>134983</v>
      </c>
      <c r="H60" s="10">
        <v>26300</v>
      </c>
    </row>
    <row r="61" spans="1:8" x14ac:dyDescent="0.25">
      <c r="A61">
        <v>2023</v>
      </c>
      <c r="B61" t="s">
        <v>9</v>
      </c>
      <c r="C61" t="s">
        <v>25</v>
      </c>
      <c r="D61" t="s">
        <v>30</v>
      </c>
      <c r="E61">
        <v>288</v>
      </c>
      <c r="F61" s="10">
        <v>349</v>
      </c>
      <c r="G61" s="10">
        <v>100512</v>
      </c>
      <c r="H61" s="10">
        <v>22360</v>
      </c>
    </row>
    <row r="62" spans="1:8" x14ac:dyDescent="0.25">
      <c r="A62">
        <v>2023</v>
      </c>
      <c r="B62" t="s">
        <v>10</v>
      </c>
      <c r="C62" t="s">
        <v>20</v>
      </c>
      <c r="D62" t="s">
        <v>26</v>
      </c>
      <c r="E62">
        <v>234</v>
      </c>
      <c r="F62" s="10">
        <v>1330</v>
      </c>
      <c r="G62" s="10">
        <v>311220</v>
      </c>
      <c r="H62" s="10">
        <v>46096</v>
      </c>
    </row>
    <row r="63" spans="1:8" x14ac:dyDescent="0.25">
      <c r="A63">
        <v>2023</v>
      </c>
      <c r="B63" t="s">
        <v>10</v>
      </c>
      <c r="C63" t="s">
        <v>20</v>
      </c>
      <c r="D63" t="s">
        <v>27</v>
      </c>
      <c r="E63">
        <v>354</v>
      </c>
      <c r="F63" s="10">
        <v>1257</v>
      </c>
      <c r="G63" s="10">
        <v>444978</v>
      </c>
      <c r="H63" s="10">
        <v>89722</v>
      </c>
    </row>
    <row r="64" spans="1:8" x14ac:dyDescent="0.25">
      <c r="A64">
        <v>2023</v>
      </c>
      <c r="B64" t="s">
        <v>10</v>
      </c>
      <c r="C64" t="s">
        <v>20</v>
      </c>
      <c r="D64" t="s">
        <v>28</v>
      </c>
      <c r="E64">
        <v>237</v>
      </c>
      <c r="F64" s="10">
        <v>1184</v>
      </c>
      <c r="G64" s="10">
        <v>280608</v>
      </c>
      <c r="H64" s="10">
        <v>32108</v>
      </c>
    </row>
    <row r="65" spans="1:8" x14ac:dyDescent="0.25">
      <c r="A65">
        <v>2023</v>
      </c>
      <c r="B65" t="s">
        <v>10</v>
      </c>
      <c r="C65" t="s">
        <v>20</v>
      </c>
      <c r="D65" t="s">
        <v>29</v>
      </c>
      <c r="E65">
        <v>217</v>
      </c>
      <c r="F65" s="10">
        <v>1235</v>
      </c>
      <c r="G65" s="10">
        <v>267995</v>
      </c>
      <c r="H65" s="10">
        <v>60474</v>
      </c>
    </row>
    <row r="66" spans="1:8" x14ac:dyDescent="0.25">
      <c r="A66">
        <v>2023</v>
      </c>
      <c r="B66" t="s">
        <v>10</v>
      </c>
      <c r="C66" t="s">
        <v>20</v>
      </c>
      <c r="D66" t="s">
        <v>30</v>
      </c>
      <c r="E66">
        <v>363</v>
      </c>
      <c r="F66" s="10">
        <v>1182</v>
      </c>
      <c r="G66" s="10">
        <v>429066</v>
      </c>
      <c r="H66" s="10">
        <v>50209</v>
      </c>
    </row>
    <row r="67" spans="1:8" x14ac:dyDescent="0.25">
      <c r="A67">
        <v>2023</v>
      </c>
      <c r="B67" t="s">
        <v>10</v>
      </c>
      <c r="C67" t="s">
        <v>21</v>
      </c>
      <c r="D67" t="s">
        <v>26</v>
      </c>
      <c r="E67">
        <v>241</v>
      </c>
      <c r="F67" s="10">
        <v>828</v>
      </c>
      <c r="G67" s="10">
        <v>199548</v>
      </c>
      <c r="H67" s="10">
        <v>40781</v>
      </c>
    </row>
    <row r="68" spans="1:8" x14ac:dyDescent="0.25">
      <c r="A68">
        <v>2023</v>
      </c>
      <c r="B68" t="s">
        <v>10</v>
      </c>
      <c r="C68" t="s">
        <v>21</v>
      </c>
      <c r="D68" t="s">
        <v>27</v>
      </c>
      <c r="E68">
        <v>359</v>
      </c>
      <c r="F68" s="10">
        <v>851</v>
      </c>
      <c r="G68" s="10">
        <v>305509</v>
      </c>
      <c r="H68" s="10">
        <v>68001</v>
      </c>
    </row>
    <row r="69" spans="1:8" x14ac:dyDescent="0.25">
      <c r="A69">
        <v>2023</v>
      </c>
      <c r="B69" t="s">
        <v>10</v>
      </c>
      <c r="C69" t="s">
        <v>21</v>
      </c>
      <c r="D69" t="s">
        <v>28</v>
      </c>
      <c r="E69">
        <v>145</v>
      </c>
      <c r="F69" s="10">
        <v>772</v>
      </c>
      <c r="G69" s="10">
        <v>111940</v>
      </c>
      <c r="H69" s="10">
        <v>27922</v>
      </c>
    </row>
    <row r="70" spans="1:8" x14ac:dyDescent="0.25">
      <c r="A70">
        <v>2023</v>
      </c>
      <c r="B70" t="s">
        <v>10</v>
      </c>
      <c r="C70" t="s">
        <v>21</v>
      </c>
      <c r="D70" t="s">
        <v>29</v>
      </c>
      <c r="E70">
        <v>349</v>
      </c>
      <c r="F70" s="10">
        <v>899</v>
      </c>
      <c r="G70" s="10">
        <v>313751</v>
      </c>
      <c r="H70" s="10">
        <v>73751</v>
      </c>
    </row>
    <row r="71" spans="1:8" x14ac:dyDescent="0.25">
      <c r="A71">
        <v>2023</v>
      </c>
      <c r="B71" t="s">
        <v>10</v>
      </c>
      <c r="C71" t="s">
        <v>21</v>
      </c>
      <c r="D71" t="s">
        <v>30</v>
      </c>
      <c r="E71">
        <v>92</v>
      </c>
      <c r="F71" s="10">
        <v>775</v>
      </c>
      <c r="G71" s="10">
        <v>71300</v>
      </c>
      <c r="H71" s="10">
        <v>14620</v>
      </c>
    </row>
    <row r="72" spans="1:8" x14ac:dyDescent="0.25">
      <c r="A72">
        <v>2023</v>
      </c>
      <c r="B72" t="s">
        <v>10</v>
      </c>
      <c r="C72" t="s">
        <v>22</v>
      </c>
      <c r="D72" t="s">
        <v>26</v>
      </c>
      <c r="E72">
        <v>301</v>
      </c>
      <c r="F72" s="10">
        <v>134</v>
      </c>
      <c r="G72" s="10">
        <v>40334</v>
      </c>
      <c r="H72" s="10">
        <v>9400</v>
      </c>
    </row>
    <row r="73" spans="1:8" x14ac:dyDescent="0.25">
      <c r="A73">
        <v>2023</v>
      </c>
      <c r="B73" t="s">
        <v>10</v>
      </c>
      <c r="C73" t="s">
        <v>22</v>
      </c>
      <c r="D73" t="s">
        <v>27</v>
      </c>
      <c r="E73">
        <v>208</v>
      </c>
      <c r="F73" s="10">
        <v>134</v>
      </c>
      <c r="G73" s="10">
        <v>27872</v>
      </c>
      <c r="H73" s="10">
        <v>6344</v>
      </c>
    </row>
    <row r="74" spans="1:8" x14ac:dyDescent="0.25">
      <c r="A74">
        <v>2023</v>
      </c>
      <c r="B74" t="s">
        <v>10</v>
      </c>
      <c r="C74" t="s">
        <v>22</v>
      </c>
      <c r="D74" t="s">
        <v>28</v>
      </c>
      <c r="E74">
        <v>201</v>
      </c>
      <c r="F74" s="10">
        <v>112</v>
      </c>
      <c r="G74" s="10">
        <v>22512</v>
      </c>
      <c r="H74" s="10">
        <v>5285</v>
      </c>
    </row>
    <row r="75" spans="1:8" x14ac:dyDescent="0.25">
      <c r="A75">
        <v>2023</v>
      </c>
      <c r="B75" t="s">
        <v>10</v>
      </c>
      <c r="C75" t="s">
        <v>22</v>
      </c>
      <c r="D75" t="s">
        <v>29</v>
      </c>
      <c r="E75">
        <v>349</v>
      </c>
      <c r="F75" s="10">
        <v>108</v>
      </c>
      <c r="G75" s="10">
        <v>37692</v>
      </c>
      <c r="H75" s="10">
        <v>4342</v>
      </c>
    </row>
    <row r="76" spans="1:8" x14ac:dyDescent="0.25">
      <c r="A76">
        <v>2023</v>
      </c>
      <c r="B76" t="s">
        <v>10</v>
      </c>
      <c r="C76" t="s">
        <v>22</v>
      </c>
      <c r="D76" t="s">
        <v>30</v>
      </c>
      <c r="E76">
        <v>186</v>
      </c>
      <c r="F76" s="10">
        <v>137</v>
      </c>
      <c r="G76" s="10">
        <v>25482</v>
      </c>
      <c r="H76" s="10">
        <v>3633</v>
      </c>
    </row>
    <row r="77" spans="1:8" x14ac:dyDescent="0.25">
      <c r="A77">
        <v>2023</v>
      </c>
      <c r="B77" t="s">
        <v>10</v>
      </c>
      <c r="C77" t="s">
        <v>23</v>
      </c>
      <c r="D77" t="s">
        <v>26</v>
      </c>
      <c r="E77">
        <v>286</v>
      </c>
      <c r="F77" s="10">
        <v>643</v>
      </c>
      <c r="G77" s="10">
        <v>183898</v>
      </c>
      <c r="H77" s="10">
        <v>36373</v>
      </c>
    </row>
    <row r="78" spans="1:8" x14ac:dyDescent="0.25">
      <c r="A78">
        <v>2023</v>
      </c>
      <c r="B78" t="s">
        <v>10</v>
      </c>
      <c r="C78" t="s">
        <v>23</v>
      </c>
      <c r="D78" t="s">
        <v>27</v>
      </c>
      <c r="E78">
        <v>260</v>
      </c>
      <c r="F78" s="10">
        <v>566</v>
      </c>
      <c r="G78" s="10">
        <v>147160</v>
      </c>
      <c r="H78" s="10">
        <v>15114</v>
      </c>
    </row>
    <row r="79" spans="1:8" x14ac:dyDescent="0.25">
      <c r="A79">
        <v>2023</v>
      </c>
      <c r="B79" t="s">
        <v>10</v>
      </c>
      <c r="C79" t="s">
        <v>23</v>
      </c>
      <c r="D79" t="s">
        <v>28</v>
      </c>
      <c r="E79">
        <v>373</v>
      </c>
      <c r="F79" s="10">
        <v>566</v>
      </c>
      <c r="G79" s="10">
        <v>211118</v>
      </c>
      <c r="H79" s="10">
        <v>32717</v>
      </c>
    </row>
    <row r="80" spans="1:8" x14ac:dyDescent="0.25">
      <c r="A80">
        <v>2023</v>
      </c>
      <c r="B80" t="s">
        <v>10</v>
      </c>
      <c r="C80" t="s">
        <v>23</v>
      </c>
      <c r="D80" t="s">
        <v>29</v>
      </c>
      <c r="E80">
        <v>224</v>
      </c>
      <c r="F80" s="10">
        <v>648</v>
      </c>
      <c r="G80" s="10">
        <v>145152</v>
      </c>
      <c r="H80" s="10">
        <v>21222</v>
      </c>
    </row>
    <row r="81" spans="1:8" x14ac:dyDescent="0.25">
      <c r="A81">
        <v>2023</v>
      </c>
      <c r="B81" t="s">
        <v>10</v>
      </c>
      <c r="C81" t="s">
        <v>23</v>
      </c>
      <c r="D81" t="s">
        <v>30</v>
      </c>
      <c r="E81">
        <v>267</v>
      </c>
      <c r="F81" s="10">
        <v>554</v>
      </c>
      <c r="G81" s="10">
        <v>147918</v>
      </c>
      <c r="H81" s="10">
        <v>22950</v>
      </c>
    </row>
    <row r="82" spans="1:8" x14ac:dyDescent="0.25">
      <c r="A82">
        <v>2023</v>
      </c>
      <c r="B82" t="s">
        <v>10</v>
      </c>
      <c r="C82" t="s">
        <v>24</v>
      </c>
      <c r="D82" t="s">
        <v>26</v>
      </c>
      <c r="E82">
        <v>106</v>
      </c>
      <c r="F82" s="10">
        <v>240</v>
      </c>
      <c r="G82" s="10">
        <v>25440</v>
      </c>
      <c r="H82" s="10">
        <v>6257</v>
      </c>
    </row>
    <row r="83" spans="1:8" x14ac:dyDescent="0.25">
      <c r="A83">
        <v>2023</v>
      </c>
      <c r="B83" t="s">
        <v>10</v>
      </c>
      <c r="C83" t="s">
        <v>24</v>
      </c>
      <c r="D83" t="s">
        <v>27</v>
      </c>
      <c r="E83">
        <v>136</v>
      </c>
      <c r="F83" s="10">
        <v>280</v>
      </c>
      <c r="G83" s="10">
        <v>38080</v>
      </c>
      <c r="H83" s="10">
        <v>7413</v>
      </c>
    </row>
    <row r="84" spans="1:8" x14ac:dyDescent="0.25">
      <c r="A84">
        <v>2023</v>
      </c>
      <c r="B84" t="s">
        <v>10</v>
      </c>
      <c r="C84" t="s">
        <v>24</v>
      </c>
      <c r="D84" t="s">
        <v>28</v>
      </c>
      <c r="E84">
        <v>320</v>
      </c>
      <c r="F84" s="10">
        <v>246</v>
      </c>
      <c r="G84" s="10">
        <v>78720</v>
      </c>
      <c r="H84" s="10">
        <v>15489</v>
      </c>
    </row>
    <row r="85" spans="1:8" x14ac:dyDescent="0.25">
      <c r="A85">
        <v>2023</v>
      </c>
      <c r="B85" t="s">
        <v>10</v>
      </c>
      <c r="C85" t="s">
        <v>24</v>
      </c>
      <c r="D85" t="s">
        <v>29</v>
      </c>
      <c r="E85">
        <v>415</v>
      </c>
      <c r="F85" s="10">
        <v>256</v>
      </c>
      <c r="G85" s="10">
        <v>106240</v>
      </c>
      <c r="H85" s="10">
        <v>19739</v>
      </c>
    </row>
    <row r="86" spans="1:8" x14ac:dyDescent="0.25">
      <c r="A86">
        <v>2023</v>
      </c>
      <c r="B86" t="s">
        <v>10</v>
      </c>
      <c r="C86" t="s">
        <v>24</v>
      </c>
      <c r="D86" t="s">
        <v>30</v>
      </c>
      <c r="E86">
        <v>284</v>
      </c>
      <c r="F86" s="10">
        <v>265</v>
      </c>
      <c r="G86" s="10">
        <v>75260</v>
      </c>
      <c r="H86" s="10">
        <v>9525</v>
      </c>
    </row>
    <row r="87" spans="1:8" x14ac:dyDescent="0.25">
      <c r="A87">
        <v>2023</v>
      </c>
      <c r="B87" t="s">
        <v>10</v>
      </c>
      <c r="C87" t="s">
        <v>25</v>
      </c>
      <c r="D87" t="s">
        <v>26</v>
      </c>
      <c r="E87">
        <v>313</v>
      </c>
      <c r="F87" s="10">
        <v>356</v>
      </c>
      <c r="G87" s="10">
        <v>111428</v>
      </c>
      <c r="H87" s="10">
        <v>15815</v>
      </c>
    </row>
    <row r="88" spans="1:8" x14ac:dyDescent="0.25">
      <c r="A88">
        <v>2023</v>
      </c>
      <c r="B88" t="s">
        <v>10</v>
      </c>
      <c r="C88" t="s">
        <v>25</v>
      </c>
      <c r="D88" t="s">
        <v>27</v>
      </c>
      <c r="E88">
        <v>89</v>
      </c>
      <c r="F88" s="10">
        <v>347</v>
      </c>
      <c r="G88" s="10">
        <v>30883</v>
      </c>
      <c r="H88" s="10">
        <v>3159</v>
      </c>
    </row>
    <row r="89" spans="1:8" x14ac:dyDescent="0.25">
      <c r="A89">
        <v>2023</v>
      </c>
      <c r="B89" t="s">
        <v>10</v>
      </c>
      <c r="C89" t="s">
        <v>25</v>
      </c>
      <c r="D89" t="s">
        <v>28</v>
      </c>
      <c r="E89">
        <v>376</v>
      </c>
      <c r="F89" s="10">
        <v>343</v>
      </c>
      <c r="G89" s="10">
        <v>128968</v>
      </c>
      <c r="H89" s="10">
        <v>23590</v>
      </c>
    </row>
    <row r="90" spans="1:8" x14ac:dyDescent="0.25">
      <c r="A90">
        <v>2023</v>
      </c>
      <c r="B90" t="s">
        <v>10</v>
      </c>
      <c r="C90" t="s">
        <v>25</v>
      </c>
      <c r="D90" t="s">
        <v>29</v>
      </c>
      <c r="E90">
        <v>182</v>
      </c>
      <c r="F90" s="10">
        <v>399</v>
      </c>
      <c r="G90" s="10">
        <v>72618</v>
      </c>
      <c r="H90" s="10">
        <v>16553</v>
      </c>
    </row>
    <row r="91" spans="1:8" x14ac:dyDescent="0.25">
      <c r="A91">
        <v>2023</v>
      </c>
      <c r="B91" t="s">
        <v>10</v>
      </c>
      <c r="C91" t="s">
        <v>25</v>
      </c>
      <c r="D91" t="s">
        <v>30</v>
      </c>
      <c r="E91">
        <v>283</v>
      </c>
      <c r="F91" s="10">
        <v>341</v>
      </c>
      <c r="G91" s="10">
        <v>96503</v>
      </c>
      <c r="H91" s="10">
        <v>12413</v>
      </c>
    </row>
    <row r="92" spans="1:8" x14ac:dyDescent="0.25">
      <c r="A92">
        <v>2023</v>
      </c>
      <c r="B92" t="s">
        <v>11</v>
      </c>
      <c r="C92" t="s">
        <v>20</v>
      </c>
      <c r="D92" t="s">
        <v>26</v>
      </c>
      <c r="E92">
        <v>250</v>
      </c>
      <c r="F92" s="10">
        <v>1175</v>
      </c>
      <c r="G92" s="10">
        <v>293750</v>
      </c>
      <c r="H92" s="10">
        <v>36843</v>
      </c>
    </row>
    <row r="93" spans="1:8" x14ac:dyDescent="0.25">
      <c r="A93">
        <v>2023</v>
      </c>
      <c r="B93" t="s">
        <v>11</v>
      </c>
      <c r="C93" t="s">
        <v>20</v>
      </c>
      <c r="D93" t="s">
        <v>27</v>
      </c>
      <c r="E93">
        <v>375</v>
      </c>
      <c r="F93" s="10">
        <v>1198</v>
      </c>
      <c r="G93" s="10">
        <v>449250</v>
      </c>
      <c r="H93" s="10">
        <v>101814</v>
      </c>
    </row>
    <row r="94" spans="1:8" x14ac:dyDescent="0.25">
      <c r="A94">
        <v>2023</v>
      </c>
      <c r="B94" t="s">
        <v>11</v>
      </c>
      <c r="C94" t="s">
        <v>20</v>
      </c>
      <c r="D94" t="s">
        <v>28</v>
      </c>
      <c r="E94">
        <v>263</v>
      </c>
      <c r="F94" s="10">
        <v>1109</v>
      </c>
      <c r="G94" s="10">
        <v>291667</v>
      </c>
      <c r="H94" s="10">
        <v>56073</v>
      </c>
    </row>
    <row r="95" spans="1:8" x14ac:dyDescent="0.25">
      <c r="A95">
        <v>2023</v>
      </c>
      <c r="B95" t="s">
        <v>11</v>
      </c>
      <c r="C95" t="s">
        <v>20</v>
      </c>
      <c r="D95" t="s">
        <v>29</v>
      </c>
      <c r="E95">
        <v>239</v>
      </c>
      <c r="F95" s="10">
        <v>1122</v>
      </c>
      <c r="G95" s="10">
        <v>268158</v>
      </c>
      <c r="H95" s="10">
        <v>47664</v>
      </c>
    </row>
    <row r="96" spans="1:8" x14ac:dyDescent="0.25">
      <c r="A96">
        <v>2023</v>
      </c>
      <c r="B96" t="s">
        <v>11</v>
      </c>
      <c r="C96" t="s">
        <v>20</v>
      </c>
      <c r="D96" t="s">
        <v>30</v>
      </c>
      <c r="E96">
        <v>367</v>
      </c>
      <c r="F96" s="10">
        <v>1334</v>
      </c>
      <c r="G96" s="10">
        <v>489578</v>
      </c>
      <c r="H96" s="10">
        <v>58990</v>
      </c>
    </row>
    <row r="97" spans="1:8" x14ac:dyDescent="0.25">
      <c r="A97">
        <v>2023</v>
      </c>
      <c r="B97" t="s">
        <v>11</v>
      </c>
      <c r="C97" t="s">
        <v>21</v>
      </c>
      <c r="D97" t="s">
        <v>26</v>
      </c>
      <c r="E97">
        <v>339</v>
      </c>
      <c r="F97" s="10">
        <v>791</v>
      </c>
      <c r="G97" s="10">
        <v>268149</v>
      </c>
      <c r="H97" s="10">
        <v>38623</v>
      </c>
    </row>
    <row r="98" spans="1:8" x14ac:dyDescent="0.25">
      <c r="A98">
        <v>2023</v>
      </c>
      <c r="B98" t="s">
        <v>11</v>
      </c>
      <c r="C98" t="s">
        <v>21</v>
      </c>
      <c r="D98" t="s">
        <v>27</v>
      </c>
      <c r="E98">
        <v>340</v>
      </c>
      <c r="F98" s="10">
        <v>803</v>
      </c>
      <c r="G98" s="10">
        <v>273020</v>
      </c>
      <c r="H98" s="10">
        <v>37794</v>
      </c>
    </row>
    <row r="99" spans="1:8" x14ac:dyDescent="0.25">
      <c r="A99">
        <v>2023</v>
      </c>
      <c r="B99" t="s">
        <v>11</v>
      </c>
      <c r="C99" t="s">
        <v>21</v>
      </c>
      <c r="D99" t="s">
        <v>28</v>
      </c>
      <c r="E99">
        <v>95</v>
      </c>
      <c r="F99" s="10">
        <v>736</v>
      </c>
      <c r="G99" s="10">
        <v>69920</v>
      </c>
      <c r="H99" s="10">
        <v>7046</v>
      </c>
    </row>
    <row r="100" spans="1:8" x14ac:dyDescent="0.25">
      <c r="A100">
        <v>2023</v>
      </c>
      <c r="B100" t="s">
        <v>11</v>
      </c>
      <c r="C100" t="s">
        <v>21</v>
      </c>
      <c r="D100" t="s">
        <v>29</v>
      </c>
      <c r="E100">
        <v>119</v>
      </c>
      <c r="F100" s="10">
        <v>879</v>
      </c>
      <c r="G100" s="10">
        <v>104601</v>
      </c>
      <c r="H100" s="10">
        <v>20658</v>
      </c>
    </row>
    <row r="101" spans="1:8" x14ac:dyDescent="0.25">
      <c r="A101">
        <v>2023</v>
      </c>
      <c r="B101" t="s">
        <v>11</v>
      </c>
      <c r="C101" t="s">
        <v>21</v>
      </c>
      <c r="D101" t="s">
        <v>30</v>
      </c>
      <c r="E101">
        <v>230</v>
      </c>
      <c r="F101" s="10">
        <v>898</v>
      </c>
      <c r="G101" s="10">
        <v>206540</v>
      </c>
      <c r="H101" s="10">
        <v>31125</v>
      </c>
    </row>
    <row r="102" spans="1:8" x14ac:dyDescent="0.25">
      <c r="A102">
        <v>2023</v>
      </c>
      <c r="B102" t="s">
        <v>11</v>
      </c>
      <c r="C102" t="s">
        <v>22</v>
      </c>
      <c r="D102" t="s">
        <v>26</v>
      </c>
      <c r="E102">
        <v>178</v>
      </c>
      <c r="F102" s="10">
        <v>125</v>
      </c>
      <c r="G102" s="10">
        <v>22250</v>
      </c>
      <c r="H102" s="10">
        <v>3688</v>
      </c>
    </row>
    <row r="103" spans="1:8" x14ac:dyDescent="0.25">
      <c r="A103">
        <v>2023</v>
      </c>
      <c r="B103" t="s">
        <v>11</v>
      </c>
      <c r="C103" t="s">
        <v>22</v>
      </c>
      <c r="D103" t="s">
        <v>27</v>
      </c>
      <c r="E103">
        <v>135</v>
      </c>
      <c r="F103" s="10">
        <v>121</v>
      </c>
      <c r="G103" s="10">
        <v>16335</v>
      </c>
      <c r="H103" s="10">
        <v>2963</v>
      </c>
    </row>
    <row r="104" spans="1:8" x14ac:dyDescent="0.25">
      <c r="A104">
        <v>2023</v>
      </c>
      <c r="B104" t="s">
        <v>11</v>
      </c>
      <c r="C104" t="s">
        <v>22</v>
      </c>
      <c r="D104" t="s">
        <v>28</v>
      </c>
      <c r="E104">
        <v>212</v>
      </c>
      <c r="F104" s="10">
        <v>133</v>
      </c>
      <c r="G104" s="10">
        <v>28196</v>
      </c>
      <c r="H104" s="10">
        <v>6458</v>
      </c>
    </row>
    <row r="105" spans="1:8" x14ac:dyDescent="0.25">
      <c r="A105">
        <v>2023</v>
      </c>
      <c r="B105" t="s">
        <v>11</v>
      </c>
      <c r="C105" t="s">
        <v>22</v>
      </c>
      <c r="D105" t="s">
        <v>29</v>
      </c>
      <c r="E105">
        <v>400</v>
      </c>
      <c r="F105" s="10">
        <v>109</v>
      </c>
      <c r="G105" s="10">
        <v>43600</v>
      </c>
      <c r="H105" s="10">
        <v>9739</v>
      </c>
    </row>
    <row r="106" spans="1:8" x14ac:dyDescent="0.25">
      <c r="A106">
        <v>2023</v>
      </c>
      <c r="B106" t="s">
        <v>11</v>
      </c>
      <c r="C106" t="s">
        <v>22</v>
      </c>
      <c r="D106" t="s">
        <v>30</v>
      </c>
      <c r="E106">
        <v>138</v>
      </c>
      <c r="F106" s="10">
        <v>124</v>
      </c>
      <c r="G106" s="10">
        <v>17112</v>
      </c>
      <c r="H106" s="10">
        <v>2549</v>
      </c>
    </row>
    <row r="107" spans="1:8" x14ac:dyDescent="0.25">
      <c r="A107">
        <v>2023</v>
      </c>
      <c r="B107" t="s">
        <v>11</v>
      </c>
      <c r="C107" t="s">
        <v>23</v>
      </c>
      <c r="D107" t="s">
        <v>26</v>
      </c>
      <c r="E107">
        <v>357</v>
      </c>
      <c r="F107" s="10">
        <v>655</v>
      </c>
      <c r="G107" s="10">
        <v>233835</v>
      </c>
      <c r="H107" s="10">
        <v>30953</v>
      </c>
    </row>
    <row r="108" spans="1:8" x14ac:dyDescent="0.25">
      <c r="A108">
        <v>2023</v>
      </c>
      <c r="B108" t="s">
        <v>11</v>
      </c>
      <c r="C108" t="s">
        <v>23</v>
      </c>
      <c r="D108" t="s">
        <v>27</v>
      </c>
      <c r="E108">
        <v>87</v>
      </c>
      <c r="F108" s="10">
        <v>608</v>
      </c>
      <c r="G108" s="10">
        <v>52896</v>
      </c>
      <c r="H108" s="10">
        <v>11970</v>
      </c>
    </row>
    <row r="109" spans="1:8" x14ac:dyDescent="0.25">
      <c r="A109">
        <v>2023</v>
      </c>
      <c r="B109" t="s">
        <v>11</v>
      </c>
      <c r="C109" t="s">
        <v>23</v>
      </c>
      <c r="D109" t="s">
        <v>28</v>
      </c>
      <c r="E109">
        <v>131</v>
      </c>
      <c r="F109" s="10">
        <v>644</v>
      </c>
      <c r="G109" s="10">
        <v>84364</v>
      </c>
      <c r="H109" s="10">
        <v>10187</v>
      </c>
    </row>
    <row r="110" spans="1:8" x14ac:dyDescent="0.25">
      <c r="A110">
        <v>2023</v>
      </c>
      <c r="B110" t="s">
        <v>11</v>
      </c>
      <c r="C110" t="s">
        <v>23</v>
      </c>
      <c r="D110" t="s">
        <v>29</v>
      </c>
      <c r="E110">
        <v>232</v>
      </c>
      <c r="F110" s="10">
        <v>686</v>
      </c>
      <c r="G110" s="10">
        <v>159152</v>
      </c>
      <c r="H110" s="10">
        <v>28240</v>
      </c>
    </row>
    <row r="111" spans="1:8" x14ac:dyDescent="0.25">
      <c r="A111">
        <v>2023</v>
      </c>
      <c r="B111" t="s">
        <v>11</v>
      </c>
      <c r="C111" t="s">
        <v>23</v>
      </c>
      <c r="D111" t="s">
        <v>30</v>
      </c>
      <c r="E111">
        <v>247</v>
      </c>
      <c r="F111" s="10">
        <v>546</v>
      </c>
      <c r="G111" s="10">
        <v>134862</v>
      </c>
      <c r="H111" s="10">
        <v>21554</v>
      </c>
    </row>
    <row r="112" spans="1:8" x14ac:dyDescent="0.25">
      <c r="A112">
        <v>2023</v>
      </c>
      <c r="B112" t="s">
        <v>11</v>
      </c>
      <c r="C112" t="s">
        <v>24</v>
      </c>
      <c r="D112" t="s">
        <v>26</v>
      </c>
      <c r="E112">
        <v>369</v>
      </c>
      <c r="F112" s="10">
        <v>252</v>
      </c>
      <c r="G112" s="10">
        <v>92988</v>
      </c>
      <c r="H112" s="10">
        <v>10393</v>
      </c>
    </row>
    <row r="113" spans="1:8" x14ac:dyDescent="0.25">
      <c r="A113">
        <v>2023</v>
      </c>
      <c r="B113" t="s">
        <v>11</v>
      </c>
      <c r="C113" t="s">
        <v>24</v>
      </c>
      <c r="D113" t="s">
        <v>27</v>
      </c>
      <c r="E113">
        <v>321</v>
      </c>
      <c r="F113" s="10">
        <v>236</v>
      </c>
      <c r="G113" s="10">
        <v>75756</v>
      </c>
      <c r="H113" s="10">
        <v>8494</v>
      </c>
    </row>
    <row r="114" spans="1:8" x14ac:dyDescent="0.25">
      <c r="A114">
        <v>2023</v>
      </c>
      <c r="B114" t="s">
        <v>11</v>
      </c>
      <c r="C114" t="s">
        <v>24</v>
      </c>
      <c r="D114" t="s">
        <v>28</v>
      </c>
      <c r="E114">
        <v>214</v>
      </c>
      <c r="F114" s="10">
        <v>268</v>
      </c>
      <c r="G114" s="10">
        <v>57352</v>
      </c>
      <c r="H114" s="10">
        <v>9253</v>
      </c>
    </row>
    <row r="115" spans="1:8" x14ac:dyDescent="0.25">
      <c r="A115">
        <v>2023</v>
      </c>
      <c r="B115" t="s">
        <v>11</v>
      </c>
      <c r="C115" t="s">
        <v>24</v>
      </c>
      <c r="D115" t="s">
        <v>29</v>
      </c>
      <c r="E115">
        <v>142</v>
      </c>
      <c r="F115" s="10">
        <v>282</v>
      </c>
      <c r="G115" s="10">
        <v>40044</v>
      </c>
      <c r="H115" s="10">
        <v>6661</v>
      </c>
    </row>
    <row r="116" spans="1:8" x14ac:dyDescent="0.25">
      <c r="A116">
        <v>2023</v>
      </c>
      <c r="B116" t="s">
        <v>11</v>
      </c>
      <c r="C116" t="s">
        <v>24</v>
      </c>
      <c r="D116" t="s">
        <v>30</v>
      </c>
      <c r="E116">
        <v>182</v>
      </c>
      <c r="F116" s="10">
        <v>259</v>
      </c>
      <c r="G116" s="10">
        <v>47138</v>
      </c>
      <c r="H116" s="10">
        <v>9766</v>
      </c>
    </row>
    <row r="117" spans="1:8" x14ac:dyDescent="0.25">
      <c r="A117">
        <v>2023</v>
      </c>
      <c r="B117" t="s">
        <v>11</v>
      </c>
      <c r="C117" t="s">
        <v>25</v>
      </c>
      <c r="D117" t="s">
        <v>26</v>
      </c>
      <c r="E117">
        <v>329</v>
      </c>
      <c r="F117" s="10">
        <v>339</v>
      </c>
      <c r="G117" s="10">
        <v>111531</v>
      </c>
      <c r="H117" s="10">
        <v>27127</v>
      </c>
    </row>
    <row r="118" spans="1:8" x14ac:dyDescent="0.25">
      <c r="A118">
        <v>2023</v>
      </c>
      <c r="B118" t="s">
        <v>11</v>
      </c>
      <c r="C118" t="s">
        <v>25</v>
      </c>
      <c r="D118" t="s">
        <v>27</v>
      </c>
      <c r="E118">
        <v>282</v>
      </c>
      <c r="F118" s="10">
        <v>363</v>
      </c>
      <c r="G118" s="10">
        <v>102366</v>
      </c>
      <c r="H118" s="10">
        <v>19629</v>
      </c>
    </row>
    <row r="119" spans="1:8" x14ac:dyDescent="0.25">
      <c r="A119">
        <v>2023</v>
      </c>
      <c r="B119" t="s">
        <v>11</v>
      </c>
      <c r="C119" t="s">
        <v>25</v>
      </c>
      <c r="D119" t="s">
        <v>28</v>
      </c>
      <c r="E119">
        <v>340</v>
      </c>
      <c r="F119" s="10">
        <v>319</v>
      </c>
      <c r="G119" s="10">
        <v>108460</v>
      </c>
      <c r="H119" s="10">
        <v>20054</v>
      </c>
    </row>
    <row r="120" spans="1:8" x14ac:dyDescent="0.25">
      <c r="A120">
        <v>2023</v>
      </c>
      <c r="B120" t="s">
        <v>11</v>
      </c>
      <c r="C120" t="s">
        <v>25</v>
      </c>
      <c r="D120" t="s">
        <v>29</v>
      </c>
      <c r="E120">
        <v>172</v>
      </c>
      <c r="F120" s="10">
        <v>316</v>
      </c>
      <c r="G120" s="10">
        <v>54352</v>
      </c>
      <c r="H120" s="10">
        <v>6381</v>
      </c>
    </row>
    <row r="121" spans="1:8" x14ac:dyDescent="0.25">
      <c r="A121">
        <v>2023</v>
      </c>
      <c r="B121" t="s">
        <v>11</v>
      </c>
      <c r="C121" t="s">
        <v>25</v>
      </c>
      <c r="D121" t="s">
        <v>30</v>
      </c>
      <c r="E121">
        <v>154</v>
      </c>
      <c r="F121" s="10">
        <v>323</v>
      </c>
      <c r="G121" s="10">
        <v>49742</v>
      </c>
      <c r="H121" s="10">
        <v>7297</v>
      </c>
    </row>
    <row r="122" spans="1:8" x14ac:dyDescent="0.25">
      <c r="A122">
        <v>2023</v>
      </c>
      <c r="B122" t="s">
        <v>12</v>
      </c>
      <c r="C122" t="s">
        <v>20</v>
      </c>
      <c r="D122" t="s">
        <v>26</v>
      </c>
      <c r="E122">
        <v>290</v>
      </c>
      <c r="F122" s="10">
        <v>1085</v>
      </c>
      <c r="G122" s="10">
        <v>314650</v>
      </c>
      <c r="H122" s="10">
        <v>67493</v>
      </c>
    </row>
    <row r="123" spans="1:8" x14ac:dyDescent="0.25">
      <c r="A123">
        <v>2023</v>
      </c>
      <c r="B123" t="s">
        <v>12</v>
      </c>
      <c r="C123" t="s">
        <v>20</v>
      </c>
      <c r="D123" t="s">
        <v>27</v>
      </c>
      <c r="E123">
        <v>120</v>
      </c>
      <c r="F123" s="10">
        <v>1183</v>
      </c>
      <c r="G123" s="10">
        <v>141960</v>
      </c>
      <c r="H123" s="10">
        <v>24090</v>
      </c>
    </row>
    <row r="124" spans="1:8" x14ac:dyDescent="0.25">
      <c r="A124">
        <v>2023</v>
      </c>
      <c r="B124" t="s">
        <v>12</v>
      </c>
      <c r="C124" t="s">
        <v>20</v>
      </c>
      <c r="D124" t="s">
        <v>28</v>
      </c>
      <c r="E124">
        <v>104</v>
      </c>
      <c r="F124" s="10">
        <v>1094</v>
      </c>
      <c r="G124" s="10">
        <v>113776</v>
      </c>
      <c r="H124" s="10">
        <v>27576</v>
      </c>
    </row>
    <row r="125" spans="1:8" x14ac:dyDescent="0.25">
      <c r="A125">
        <v>2023</v>
      </c>
      <c r="B125" t="s">
        <v>12</v>
      </c>
      <c r="C125" t="s">
        <v>20</v>
      </c>
      <c r="D125" t="s">
        <v>29</v>
      </c>
      <c r="E125">
        <v>183</v>
      </c>
      <c r="F125" s="10">
        <v>1093</v>
      </c>
      <c r="G125" s="10">
        <v>200019</v>
      </c>
      <c r="H125" s="10">
        <v>31241</v>
      </c>
    </row>
    <row r="126" spans="1:8" x14ac:dyDescent="0.25">
      <c r="A126">
        <v>2023</v>
      </c>
      <c r="B126" t="s">
        <v>12</v>
      </c>
      <c r="C126" t="s">
        <v>20</v>
      </c>
      <c r="D126" t="s">
        <v>30</v>
      </c>
      <c r="E126">
        <v>337</v>
      </c>
      <c r="F126" s="10">
        <v>1360</v>
      </c>
      <c r="G126" s="10">
        <v>458320</v>
      </c>
      <c r="H126" s="10">
        <v>80277</v>
      </c>
    </row>
    <row r="127" spans="1:8" x14ac:dyDescent="0.25">
      <c r="A127">
        <v>2023</v>
      </c>
      <c r="B127" t="s">
        <v>12</v>
      </c>
      <c r="C127" t="s">
        <v>21</v>
      </c>
      <c r="D127" t="s">
        <v>26</v>
      </c>
      <c r="E127">
        <v>85</v>
      </c>
      <c r="F127" s="10">
        <v>843</v>
      </c>
      <c r="G127" s="10">
        <v>71655</v>
      </c>
      <c r="H127" s="10">
        <v>17310</v>
      </c>
    </row>
    <row r="128" spans="1:8" x14ac:dyDescent="0.25">
      <c r="A128">
        <v>2023</v>
      </c>
      <c r="B128" t="s">
        <v>12</v>
      </c>
      <c r="C128" t="s">
        <v>21</v>
      </c>
      <c r="D128" t="s">
        <v>27</v>
      </c>
      <c r="E128">
        <v>345</v>
      </c>
      <c r="F128" s="10">
        <v>725</v>
      </c>
      <c r="G128" s="10">
        <v>250125</v>
      </c>
      <c r="H128" s="10">
        <v>46990</v>
      </c>
    </row>
    <row r="129" spans="1:8" x14ac:dyDescent="0.25">
      <c r="A129">
        <v>2023</v>
      </c>
      <c r="B129" t="s">
        <v>12</v>
      </c>
      <c r="C129" t="s">
        <v>21</v>
      </c>
      <c r="D129" t="s">
        <v>28</v>
      </c>
      <c r="E129">
        <v>236</v>
      </c>
      <c r="F129" s="10">
        <v>855</v>
      </c>
      <c r="G129" s="10">
        <v>201780</v>
      </c>
      <c r="H129" s="10">
        <v>37532</v>
      </c>
    </row>
    <row r="130" spans="1:8" x14ac:dyDescent="0.25">
      <c r="A130">
        <v>2023</v>
      </c>
      <c r="B130" t="s">
        <v>12</v>
      </c>
      <c r="C130" t="s">
        <v>21</v>
      </c>
      <c r="D130" t="s">
        <v>29</v>
      </c>
      <c r="E130">
        <v>114</v>
      </c>
      <c r="F130" s="10">
        <v>811</v>
      </c>
      <c r="G130" s="10">
        <v>92454</v>
      </c>
      <c r="H130" s="10">
        <v>16812</v>
      </c>
    </row>
    <row r="131" spans="1:8" x14ac:dyDescent="0.25">
      <c r="A131">
        <v>2023</v>
      </c>
      <c r="B131" t="s">
        <v>12</v>
      </c>
      <c r="C131" t="s">
        <v>21</v>
      </c>
      <c r="D131" t="s">
        <v>30</v>
      </c>
      <c r="E131">
        <v>184</v>
      </c>
      <c r="F131" s="10">
        <v>845</v>
      </c>
      <c r="G131" s="10">
        <v>155480</v>
      </c>
      <c r="H131" s="10">
        <v>34681</v>
      </c>
    </row>
    <row r="132" spans="1:8" x14ac:dyDescent="0.25">
      <c r="A132">
        <v>2023</v>
      </c>
      <c r="B132" t="s">
        <v>12</v>
      </c>
      <c r="C132" t="s">
        <v>22</v>
      </c>
      <c r="D132" t="s">
        <v>26</v>
      </c>
      <c r="E132">
        <v>253</v>
      </c>
      <c r="F132" s="10">
        <v>135</v>
      </c>
      <c r="G132" s="10">
        <v>34155</v>
      </c>
      <c r="H132" s="10">
        <v>4418</v>
      </c>
    </row>
    <row r="133" spans="1:8" x14ac:dyDescent="0.25">
      <c r="A133">
        <v>2023</v>
      </c>
      <c r="B133" t="s">
        <v>12</v>
      </c>
      <c r="C133" t="s">
        <v>22</v>
      </c>
      <c r="D133" t="s">
        <v>27</v>
      </c>
      <c r="E133">
        <v>93</v>
      </c>
      <c r="F133" s="10">
        <v>111</v>
      </c>
      <c r="G133" s="10">
        <v>10323</v>
      </c>
      <c r="H133" s="10">
        <v>1060</v>
      </c>
    </row>
    <row r="134" spans="1:8" x14ac:dyDescent="0.25">
      <c r="A134">
        <v>2023</v>
      </c>
      <c r="B134" t="s">
        <v>12</v>
      </c>
      <c r="C134" t="s">
        <v>22</v>
      </c>
      <c r="D134" t="s">
        <v>28</v>
      </c>
      <c r="E134">
        <v>329</v>
      </c>
      <c r="F134" s="10">
        <v>128</v>
      </c>
      <c r="G134" s="10">
        <v>42112</v>
      </c>
      <c r="H134" s="10">
        <v>4660</v>
      </c>
    </row>
    <row r="135" spans="1:8" x14ac:dyDescent="0.25">
      <c r="A135">
        <v>2023</v>
      </c>
      <c r="B135" t="s">
        <v>12</v>
      </c>
      <c r="C135" t="s">
        <v>22</v>
      </c>
      <c r="D135" t="s">
        <v>29</v>
      </c>
      <c r="E135">
        <v>351</v>
      </c>
      <c r="F135" s="10">
        <v>119</v>
      </c>
      <c r="G135" s="10">
        <v>41769</v>
      </c>
      <c r="H135" s="10">
        <v>8447</v>
      </c>
    </row>
    <row r="136" spans="1:8" x14ac:dyDescent="0.25">
      <c r="A136">
        <v>2023</v>
      </c>
      <c r="B136" t="s">
        <v>12</v>
      </c>
      <c r="C136" t="s">
        <v>22</v>
      </c>
      <c r="D136" t="s">
        <v>30</v>
      </c>
      <c r="E136">
        <v>198</v>
      </c>
      <c r="F136" s="10">
        <v>116</v>
      </c>
      <c r="G136" s="10">
        <v>22968</v>
      </c>
      <c r="H136" s="10">
        <v>2703</v>
      </c>
    </row>
    <row r="137" spans="1:8" x14ac:dyDescent="0.25">
      <c r="A137">
        <v>2023</v>
      </c>
      <c r="B137" t="s">
        <v>12</v>
      </c>
      <c r="C137" t="s">
        <v>23</v>
      </c>
      <c r="D137" t="s">
        <v>26</v>
      </c>
      <c r="E137">
        <v>197</v>
      </c>
      <c r="F137" s="10">
        <v>634</v>
      </c>
      <c r="G137" s="10">
        <v>124898</v>
      </c>
      <c r="H137" s="10">
        <v>28928</v>
      </c>
    </row>
    <row r="138" spans="1:8" x14ac:dyDescent="0.25">
      <c r="A138">
        <v>2023</v>
      </c>
      <c r="B138" t="s">
        <v>12</v>
      </c>
      <c r="C138" t="s">
        <v>23</v>
      </c>
      <c r="D138" t="s">
        <v>27</v>
      </c>
      <c r="E138">
        <v>303</v>
      </c>
      <c r="F138" s="10">
        <v>660</v>
      </c>
      <c r="G138" s="10">
        <v>199980</v>
      </c>
      <c r="H138" s="10">
        <v>28458</v>
      </c>
    </row>
    <row r="139" spans="1:8" x14ac:dyDescent="0.25">
      <c r="A139">
        <v>2023</v>
      </c>
      <c r="B139" t="s">
        <v>12</v>
      </c>
      <c r="C139" t="s">
        <v>23</v>
      </c>
      <c r="D139" t="s">
        <v>28</v>
      </c>
      <c r="E139">
        <v>277</v>
      </c>
      <c r="F139" s="10">
        <v>626</v>
      </c>
      <c r="G139" s="10">
        <v>173402</v>
      </c>
      <c r="H139" s="10">
        <v>36370</v>
      </c>
    </row>
    <row r="140" spans="1:8" x14ac:dyDescent="0.25">
      <c r="A140">
        <v>2023</v>
      </c>
      <c r="B140" t="s">
        <v>12</v>
      </c>
      <c r="C140" t="s">
        <v>23</v>
      </c>
      <c r="D140" t="s">
        <v>29</v>
      </c>
      <c r="E140">
        <v>117</v>
      </c>
      <c r="F140" s="10">
        <v>595</v>
      </c>
      <c r="G140" s="10">
        <v>69615</v>
      </c>
      <c r="H140" s="10">
        <v>15068</v>
      </c>
    </row>
    <row r="141" spans="1:8" x14ac:dyDescent="0.25">
      <c r="A141">
        <v>2023</v>
      </c>
      <c r="B141" t="s">
        <v>12</v>
      </c>
      <c r="C141" t="s">
        <v>23</v>
      </c>
      <c r="D141" t="s">
        <v>30</v>
      </c>
      <c r="E141">
        <v>236</v>
      </c>
      <c r="F141" s="10">
        <v>670</v>
      </c>
      <c r="G141" s="10">
        <v>158120</v>
      </c>
      <c r="H141" s="10">
        <v>29138</v>
      </c>
    </row>
    <row r="142" spans="1:8" x14ac:dyDescent="0.25">
      <c r="A142">
        <v>2023</v>
      </c>
      <c r="B142" t="s">
        <v>12</v>
      </c>
      <c r="C142" t="s">
        <v>24</v>
      </c>
      <c r="D142" t="s">
        <v>26</v>
      </c>
      <c r="E142">
        <v>355</v>
      </c>
      <c r="F142" s="10">
        <v>251</v>
      </c>
      <c r="G142" s="10">
        <v>89105</v>
      </c>
      <c r="H142" s="10">
        <v>18946</v>
      </c>
    </row>
    <row r="143" spans="1:8" x14ac:dyDescent="0.25">
      <c r="A143">
        <v>2023</v>
      </c>
      <c r="B143" t="s">
        <v>12</v>
      </c>
      <c r="C143" t="s">
        <v>24</v>
      </c>
      <c r="D143" t="s">
        <v>27</v>
      </c>
      <c r="E143">
        <v>303</v>
      </c>
      <c r="F143" s="10">
        <v>239</v>
      </c>
      <c r="G143" s="10">
        <v>72417</v>
      </c>
      <c r="H143" s="10">
        <v>11344</v>
      </c>
    </row>
    <row r="144" spans="1:8" x14ac:dyDescent="0.25">
      <c r="A144">
        <v>2023</v>
      </c>
      <c r="B144" t="s">
        <v>12</v>
      </c>
      <c r="C144" t="s">
        <v>24</v>
      </c>
      <c r="D144" t="s">
        <v>28</v>
      </c>
      <c r="E144">
        <v>144</v>
      </c>
      <c r="F144" s="10">
        <v>256</v>
      </c>
      <c r="G144" s="10">
        <v>36864</v>
      </c>
      <c r="H144" s="10">
        <v>5840</v>
      </c>
    </row>
    <row r="145" spans="1:8" x14ac:dyDescent="0.25">
      <c r="A145">
        <v>2023</v>
      </c>
      <c r="B145" t="s">
        <v>12</v>
      </c>
      <c r="C145" t="s">
        <v>24</v>
      </c>
      <c r="D145" t="s">
        <v>29</v>
      </c>
      <c r="E145">
        <v>272</v>
      </c>
      <c r="F145" s="10">
        <v>231</v>
      </c>
      <c r="G145" s="10">
        <v>62832</v>
      </c>
      <c r="H145" s="10">
        <v>6787</v>
      </c>
    </row>
    <row r="146" spans="1:8" x14ac:dyDescent="0.25">
      <c r="A146">
        <v>2023</v>
      </c>
      <c r="B146" t="s">
        <v>12</v>
      </c>
      <c r="C146" t="s">
        <v>24</v>
      </c>
      <c r="D146" t="s">
        <v>30</v>
      </c>
      <c r="E146">
        <v>319</v>
      </c>
      <c r="F146" s="10">
        <v>277</v>
      </c>
      <c r="G146" s="10">
        <v>88363</v>
      </c>
      <c r="H146" s="10">
        <v>13540</v>
      </c>
    </row>
    <row r="147" spans="1:8" x14ac:dyDescent="0.25">
      <c r="A147">
        <v>2023</v>
      </c>
      <c r="B147" t="s">
        <v>12</v>
      </c>
      <c r="C147" t="s">
        <v>25</v>
      </c>
      <c r="D147" t="s">
        <v>26</v>
      </c>
      <c r="E147">
        <v>372</v>
      </c>
      <c r="F147" s="10">
        <v>398</v>
      </c>
      <c r="G147" s="10">
        <v>148056</v>
      </c>
      <c r="H147" s="10">
        <v>35917</v>
      </c>
    </row>
    <row r="148" spans="1:8" x14ac:dyDescent="0.25">
      <c r="A148">
        <v>2023</v>
      </c>
      <c r="B148" t="s">
        <v>12</v>
      </c>
      <c r="C148" t="s">
        <v>25</v>
      </c>
      <c r="D148" t="s">
        <v>27</v>
      </c>
      <c r="E148">
        <v>228</v>
      </c>
      <c r="F148" s="10">
        <v>354</v>
      </c>
      <c r="G148" s="10">
        <v>80712</v>
      </c>
      <c r="H148" s="10">
        <v>11621</v>
      </c>
    </row>
    <row r="149" spans="1:8" x14ac:dyDescent="0.25">
      <c r="A149">
        <v>2023</v>
      </c>
      <c r="B149" t="s">
        <v>12</v>
      </c>
      <c r="C149" t="s">
        <v>25</v>
      </c>
      <c r="D149" t="s">
        <v>28</v>
      </c>
      <c r="E149">
        <v>106</v>
      </c>
      <c r="F149" s="10">
        <v>363</v>
      </c>
      <c r="G149" s="10">
        <v>38478</v>
      </c>
      <c r="H149" s="10">
        <v>5075</v>
      </c>
    </row>
    <row r="150" spans="1:8" x14ac:dyDescent="0.25">
      <c r="A150">
        <v>2023</v>
      </c>
      <c r="B150" t="s">
        <v>12</v>
      </c>
      <c r="C150" t="s">
        <v>25</v>
      </c>
      <c r="D150" t="s">
        <v>29</v>
      </c>
      <c r="E150">
        <v>135</v>
      </c>
      <c r="F150" s="10">
        <v>384</v>
      </c>
      <c r="G150" s="10">
        <v>51840</v>
      </c>
      <c r="H150" s="10">
        <v>11324</v>
      </c>
    </row>
    <row r="151" spans="1:8" x14ac:dyDescent="0.25">
      <c r="A151">
        <v>2023</v>
      </c>
      <c r="B151" t="s">
        <v>12</v>
      </c>
      <c r="C151" t="s">
        <v>25</v>
      </c>
      <c r="D151" t="s">
        <v>30</v>
      </c>
      <c r="E151">
        <v>192</v>
      </c>
      <c r="F151" s="10">
        <v>396</v>
      </c>
      <c r="G151" s="10">
        <v>76032</v>
      </c>
      <c r="H151" s="10">
        <v>18714</v>
      </c>
    </row>
    <row r="152" spans="1:8" x14ac:dyDescent="0.25">
      <c r="A152">
        <v>2023</v>
      </c>
      <c r="B152" t="s">
        <v>13</v>
      </c>
      <c r="C152" t="s">
        <v>20</v>
      </c>
      <c r="D152" t="s">
        <v>26</v>
      </c>
      <c r="E152">
        <v>302</v>
      </c>
      <c r="F152" s="10">
        <v>1096</v>
      </c>
      <c r="G152" s="10">
        <v>330992</v>
      </c>
      <c r="H152" s="10">
        <v>69692</v>
      </c>
    </row>
    <row r="153" spans="1:8" x14ac:dyDescent="0.25">
      <c r="A153">
        <v>2023</v>
      </c>
      <c r="B153" t="s">
        <v>13</v>
      </c>
      <c r="C153" t="s">
        <v>20</v>
      </c>
      <c r="D153" t="s">
        <v>27</v>
      </c>
      <c r="E153">
        <v>300</v>
      </c>
      <c r="F153" s="10">
        <v>1185</v>
      </c>
      <c r="G153" s="10">
        <v>355500</v>
      </c>
      <c r="H153" s="10">
        <v>41792</v>
      </c>
    </row>
    <row r="154" spans="1:8" x14ac:dyDescent="0.25">
      <c r="A154">
        <v>2023</v>
      </c>
      <c r="B154" t="s">
        <v>13</v>
      </c>
      <c r="C154" t="s">
        <v>20</v>
      </c>
      <c r="D154" t="s">
        <v>28</v>
      </c>
      <c r="E154">
        <v>155</v>
      </c>
      <c r="F154" s="10">
        <v>1286</v>
      </c>
      <c r="G154" s="10">
        <v>199330</v>
      </c>
      <c r="H154" s="10">
        <v>44957</v>
      </c>
    </row>
    <row r="155" spans="1:8" x14ac:dyDescent="0.25">
      <c r="A155">
        <v>2023</v>
      </c>
      <c r="B155" t="s">
        <v>13</v>
      </c>
      <c r="C155" t="s">
        <v>20</v>
      </c>
      <c r="D155" t="s">
        <v>29</v>
      </c>
      <c r="E155">
        <v>332</v>
      </c>
      <c r="F155" s="10">
        <v>1331</v>
      </c>
      <c r="G155" s="10">
        <v>441892</v>
      </c>
      <c r="H155" s="10">
        <v>72432</v>
      </c>
    </row>
    <row r="156" spans="1:8" x14ac:dyDescent="0.25">
      <c r="A156">
        <v>2023</v>
      </c>
      <c r="B156" t="s">
        <v>13</v>
      </c>
      <c r="C156" t="s">
        <v>20</v>
      </c>
      <c r="D156" t="s">
        <v>30</v>
      </c>
      <c r="E156">
        <v>247</v>
      </c>
      <c r="F156" s="10">
        <v>1101</v>
      </c>
      <c r="G156" s="10">
        <v>271947</v>
      </c>
      <c r="H156" s="10">
        <v>60720</v>
      </c>
    </row>
    <row r="157" spans="1:8" x14ac:dyDescent="0.25">
      <c r="A157">
        <v>2023</v>
      </c>
      <c r="B157" t="s">
        <v>13</v>
      </c>
      <c r="C157" t="s">
        <v>21</v>
      </c>
      <c r="D157" t="s">
        <v>26</v>
      </c>
      <c r="E157">
        <v>201</v>
      </c>
      <c r="F157" s="10">
        <v>749</v>
      </c>
      <c r="G157" s="10">
        <v>150549</v>
      </c>
      <c r="H157" s="10">
        <v>26647</v>
      </c>
    </row>
    <row r="158" spans="1:8" x14ac:dyDescent="0.25">
      <c r="A158">
        <v>2023</v>
      </c>
      <c r="B158" t="s">
        <v>13</v>
      </c>
      <c r="C158" t="s">
        <v>21</v>
      </c>
      <c r="D158" t="s">
        <v>27</v>
      </c>
      <c r="E158">
        <v>215</v>
      </c>
      <c r="F158" s="10">
        <v>794</v>
      </c>
      <c r="G158" s="10">
        <v>170710</v>
      </c>
      <c r="H158" s="10">
        <v>26561</v>
      </c>
    </row>
    <row r="159" spans="1:8" x14ac:dyDescent="0.25">
      <c r="A159">
        <v>2023</v>
      </c>
      <c r="B159" t="s">
        <v>13</v>
      </c>
      <c r="C159" t="s">
        <v>21</v>
      </c>
      <c r="D159" t="s">
        <v>28</v>
      </c>
      <c r="E159">
        <v>224</v>
      </c>
      <c r="F159" s="10">
        <v>909</v>
      </c>
      <c r="G159" s="10">
        <v>203616</v>
      </c>
      <c r="H159" s="10">
        <v>50476</v>
      </c>
    </row>
    <row r="160" spans="1:8" x14ac:dyDescent="0.25">
      <c r="A160">
        <v>2023</v>
      </c>
      <c r="B160" t="s">
        <v>13</v>
      </c>
      <c r="C160" t="s">
        <v>21</v>
      </c>
      <c r="D160" t="s">
        <v>29</v>
      </c>
      <c r="E160">
        <v>211</v>
      </c>
      <c r="F160" s="10">
        <v>790</v>
      </c>
      <c r="G160" s="10">
        <v>166690</v>
      </c>
      <c r="H160" s="10">
        <v>34376</v>
      </c>
    </row>
    <row r="161" spans="1:8" x14ac:dyDescent="0.25">
      <c r="A161">
        <v>2023</v>
      </c>
      <c r="B161" t="s">
        <v>13</v>
      </c>
      <c r="C161" t="s">
        <v>21</v>
      </c>
      <c r="D161" t="s">
        <v>30</v>
      </c>
      <c r="E161">
        <v>354</v>
      </c>
      <c r="F161" s="10">
        <v>875</v>
      </c>
      <c r="G161" s="10">
        <v>309750</v>
      </c>
      <c r="H161" s="10">
        <v>56919</v>
      </c>
    </row>
    <row r="162" spans="1:8" x14ac:dyDescent="0.25">
      <c r="A162">
        <v>2023</v>
      </c>
      <c r="B162" t="s">
        <v>13</v>
      </c>
      <c r="C162" t="s">
        <v>22</v>
      </c>
      <c r="D162" t="s">
        <v>26</v>
      </c>
      <c r="E162">
        <v>170</v>
      </c>
      <c r="F162" s="10">
        <v>115</v>
      </c>
      <c r="G162" s="10">
        <v>19550</v>
      </c>
      <c r="H162" s="10">
        <v>2923</v>
      </c>
    </row>
    <row r="163" spans="1:8" x14ac:dyDescent="0.25">
      <c r="A163">
        <v>2023</v>
      </c>
      <c r="B163" t="s">
        <v>13</v>
      </c>
      <c r="C163" t="s">
        <v>22</v>
      </c>
      <c r="D163" t="s">
        <v>27</v>
      </c>
      <c r="E163">
        <v>205</v>
      </c>
      <c r="F163" s="10">
        <v>122</v>
      </c>
      <c r="G163" s="10">
        <v>25010</v>
      </c>
      <c r="H163" s="10">
        <v>2543</v>
      </c>
    </row>
    <row r="164" spans="1:8" x14ac:dyDescent="0.25">
      <c r="A164">
        <v>2023</v>
      </c>
      <c r="B164" t="s">
        <v>13</v>
      </c>
      <c r="C164" t="s">
        <v>22</v>
      </c>
      <c r="D164" t="s">
        <v>28</v>
      </c>
      <c r="E164">
        <v>299</v>
      </c>
      <c r="F164" s="10">
        <v>125</v>
      </c>
      <c r="G164" s="10">
        <v>37375</v>
      </c>
      <c r="H164" s="10">
        <v>7891</v>
      </c>
    </row>
    <row r="165" spans="1:8" x14ac:dyDescent="0.25">
      <c r="A165">
        <v>2023</v>
      </c>
      <c r="B165" t="s">
        <v>13</v>
      </c>
      <c r="C165" t="s">
        <v>22</v>
      </c>
      <c r="D165" t="s">
        <v>29</v>
      </c>
      <c r="E165">
        <v>396</v>
      </c>
      <c r="F165" s="10">
        <v>132</v>
      </c>
      <c r="G165" s="10">
        <v>52272</v>
      </c>
      <c r="H165" s="10">
        <v>11062</v>
      </c>
    </row>
    <row r="166" spans="1:8" x14ac:dyDescent="0.25">
      <c r="A166">
        <v>2023</v>
      </c>
      <c r="B166" t="s">
        <v>13</v>
      </c>
      <c r="C166" t="s">
        <v>22</v>
      </c>
      <c r="D166" t="s">
        <v>30</v>
      </c>
      <c r="E166">
        <v>269</v>
      </c>
      <c r="F166" s="10">
        <v>120</v>
      </c>
      <c r="G166" s="10">
        <v>32280</v>
      </c>
      <c r="H166" s="10">
        <v>5541</v>
      </c>
    </row>
    <row r="167" spans="1:8" x14ac:dyDescent="0.25">
      <c r="A167">
        <v>2023</v>
      </c>
      <c r="B167" t="s">
        <v>13</v>
      </c>
      <c r="C167" t="s">
        <v>23</v>
      </c>
      <c r="D167" t="s">
        <v>26</v>
      </c>
      <c r="E167">
        <v>391</v>
      </c>
      <c r="F167" s="10">
        <v>619</v>
      </c>
      <c r="G167" s="10">
        <v>242029</v>
      </c>
      <c r="H167" s="10">
        <v>40043</v>
      </c>
    </row>
    <row r="168" spans="1:8" x14ac:dyDescent="0.25">
      <c r="A168">
        <v>2023</v>
      </c>
      <c r="B168" t="s">
        <v>13</v>
      </c>
      <c r="C168" t="s">
        <v>23</v>
      </c>
      <c r="D168" t="s">
        <v>27</v>
      </c>
      <c r="E168">
        <v>137</v>
      </c>
      <c r="F168" s="10">
        <v>541</v>
      </c>
      <c r="G168" s="10">
        <v>74117</v>
      </c>
      <c r="H168" s="10">
        <v>18194</v>
      </c>
    </row>
    <row r="169" spans="1:8" x14ac:dyDescent="0.25">
      <c r="A169">
        <v>2023</v>
      </c>
      <c r="B169" t="s">
        <v>13</v>
      </c>
      <c r="C169" t="s">
        <v>23</v>
      </c>
      <c r="D169" t="s">
        <v>28</v>
      </c>
      <c r="E169">
        <v>396</v>
      </c>
      <c r="F169" s="10">
        <v>588</v>
      </c>
      <c r="G169" s="10">
        <v>232848</v>
      </c>
      <c r="H169" s="10">
        <v>24800</v>
      </c>
    </row>
    <row r="170" spans="1:8" x14ac:dyDescent="0.25">
      <c r="A170">
        <v>2023</v>
      </c>
      <c r="B170" t="s">
        <v>13</v>
      </c>
      <c r="C170" t="s">
        <v>23</v>
      </c>
      <c r="D170" t="s">
        <v>29</v>
      </c>
      <c r="E170">
        <v>292</v>
      </c>
      <c r="F170" s="10">
        <v>688</v>
      </c>
      <c r="G170" s="10">
        <v>200896</v>
      </c>
      <c r="H170" s="10">
        <v>22313</v>
      </c>
    </row>
    <row r="171" spans="1:8" x14ac:dyDescent="0.25">
      <c r="A171">
        <v>2023</v>
      </c>
      <c r="B171" t="s">
        <v>13</v>
      </c>
      <c r="C171" t="s">
        <v>23</v>
      </c>
      <c r="D171" t="s">
        <v>30</v>
      </c>
      <c r="E171">
        <v>306</v>
      </c>
      <c r="F171" s="10">
        <v>644</v>
      </c>
      <c r="G171" s="10">
        <v>197064</v>
      </c>
      <c r="H171" s="10">
        <v>21936</v>
      </c>
    </row>
    <row r="172" spans="1:8" x14ac:dyDescent="0.25">
      <c r="A172">
        <v>2023</v>
      </c>
      <c r="B172" t="s">
        <v>13</v>
      </c>
      <c r="C172" t="s">
        <v>24</v>
      </c>
      <c r="D172" t="s">
        <v>26</v>
      </c>
      <c r="E172">
        <v>126</v>
      </c>
      <c r="F172" s="10">
        <v>264</v>
      </c>
      <c r="G172" s="10">
        <v>33264</v>
      </c>
      <c r="H172" s="10">
        <v>6797</v>
      </c>
    </row>
    <row r="173" spans="1:8" x14ac:dyDescent="0.25">
      <c r="A173">
        <v>2023</v>
      </c>
      <c r="B173" t="s">
        <v>13</v>
      </c>
      <c r="C173" t="s">
        <v>24</v>
      </c>
      <c r="D173" t="s">
        <v>27</v>
      </c>
      <c r="E173">
        <v>80</v>
      </c>
      <c r="F173" s="10">
        <v>264</v>
      </c>
      <c r="G173" s="10">
        <v>21120</v>
      </c>
      <c r="H173" s="10">
        <v>3963</v>
      </c>
    </row>
    <row r="174" spans="1:8" x14ac:dyDescent="0.25">
      <c r="A174">
        <v>2023</v>
      </c>
      <c r="B174" t="s">
        <v>13</v>
      </c>
      <c r="C174" t="s">
        <v>24</v>
      </c>
      <c r="D174" t="s">
        <v>28</v>
      </c>
      <c r="E174">
        <v>223</v>
      </c>
      <c r="F174" s="10">
        <v>271</v>
      </c>
      <c r="G174" s="10">
        <v>60433</v>
      </c>
      <c r="H174" s="10">
        <v>14340</v>
      </c>
    </row>
    <row r="175" spans="1:8" x14ac:dyDescent="0.25">
      <c r="A175">
        <v>2023</v>
      </c>
      <c r="B175" t="s">
        <v>13</v>
      </c>
      <c r="C175" t="s">
        <v>24</v>
      </c>
      <c r="D175" t="s">
        <v>29</v>
      </c>
      <c r="E175">
        <v>303</v>
      </c>
      <c r="F175" s="10">
        <v>228</v>
      </c>
      <c r="G175" s="10">
        <v>69084</v>
      </c>
      <c r="H175" s="10">
        <v>10996</v>
      </c>
    </row>
    <row r="176" spans="1:8" x14ac:dyDescent="0.25">
      <c r="A176">
        <v>2023</v>
      </c>
      <c r="B176" t="s">
        <v>13</v>
      </c>
      <c r="C176" t="s">
        <v>24</v>
      </c>
      <c r="D176" t="s">
        <v>30</v>
      </c>
      <c r="E176">
        <v>235</v>
      </c>
      <c r="F176" s="10">
        <v>245</v>
      </c>
      <c r="G176" s="10">
        <v>57575</v>
      </c>
      <c r="H176" s="10">
        <v>7222</v>
      </c>
    </row>
    <row r="177" spans="1:8" x14ac:dyDescent="0.25">
      <c r="A177">
        <v>2023</v>
      </c>
      <c r="B177" t="s">
        <v>13</v>
      </c>
      <c r="C177" t="s">
        <v>25</v>
      </c>
      <c r="D177" t="s">
        <v>26</v>
      </c>
      <c r="E177">
        <v>243</v>
      </c>
      <c r="F177" s="10">
        <v>355</v>
      </c>
      <c r="G177" s="10">
        <v>86265</v>
      </c>
      <c r="H177" s="10">
        <v>13198</v>
      </c>
    </row>
    <row r="178" spans="1:8" x14ac:dyDescent="0.25">
      <c r="A178">
        <v>2023</v>
      </c>
      <c r="B178" t="s">
        <v>13</v>
      </c>
      <c r="C178" t="s">
        <v>25</v>
      </c>
      <c r="D178" t="s">
        <v>27</v>
      </c>
      <c r="E178">
        <v>257</v>
      </c>
      <c r="F178" s="10">
        <v>338</v>
      </c>
      <c r="G178" s="10">
        <v>86866</v>
      </c>
      <c r="H178" s="10">
        <v>13381</v>
      </c>
    </row>
    <row r="179" spans="1:8" x14ac:dyDescent="0.25">
      <c r="A179">
        <v>2023</v>
      </c>
      <c r="B179" t="s">
        <v>13</v>
      </c>
      <c r="C179" t="s">
        <v>25</v>
      </c>
      <c r="D179" t="s">
        <v>28</v>
      </c>
      <c r="E179">
        <v>307</v>
      </c>
      <c r="F179" s="10">
        <v>401</v>
      </c>
      <c r="G179" s="10">
        <v>123107</v>
      </c>
      <c r="H179" s="10">
        <v>25202</v>
      </c>
    </row>
    <row r="180" spans="1:8" x14ac:dyDescent="0.25">
      <c r="A180">
        <v>2023</v>
      </c>
      <c r="B180" t="s">
        <v>13</v>
      </c>
      <c r="C180" t="s">
        <v>25</v>
      </c>
      <c r="D180" t="s">
        <v>29</v>
      </c>
      <c r="E180">
        <v>224</v>
      </c>
      <c r="F180" s="10">
        <v>339</v>
      </c>
      <c r="G180" s="10">
        <v>75936</v>
      </c>
      <c r="H180" s="10">
        <v>12277</v>
      </c>
    </row>
    <row r="181" spans="1:8" x14ac:dyDescent="0.25">
      <c r="A181">
        <v>2023</v>
      </c>
      <c r="B181" t="s">
        <v>13</v>
      </c>
      <c r="C181" t="s">
        <v>25</v>
      </c>
      <c r="D181" t="s">
        <v>30</v>
      </c>
      <c r="E181">
        <v>299</v>
      </c>
      <c r="F181" s="10">
        <v>338</v>
      </c>
      <c r="G181" s="10">
        <v>101062</v>
      </c>
      <c r="H181" s="10">
        <v>12125</v>
      </c>
    </row>
    <row r="182" spans="1:8" x14ac:dyDescent="0.25">
      <c r="A182">
        <v>2023</v>
      </c>
      <c r="B182" t="s">
        <v>14</v>
      </c>
      <c r="C182" t="s">
        <v>20</v>
      </c>
      <c r="D182" t="s">
        <v>26</v>
      </c>
      <c r="E182">
        <v>111</v>
      </c>
      <c r="F182" s="10">
        <v>1326</v>
      </c>
      <c r="G182" s="10">
        <v>147186</v>
      </c>
      <c r="H182" s="10">
        <v>35688</v>
      </c>
    </row>
    <row r="183" spans="1:8" x14ac:dyDescent="0.25">
      <c r="A183">
        <v>2023</v>
      </c>
      <c r="B183" t="s">
        <v>14</v>
      </c>
      <c r="C183" t="s">
        <v>20</v>
      </c>
      <c r="D183" t="s">
        <v>27</v>
      </c>
      <c r="E183">
        <v>326</v>
      </c>
      <c r="F183" s="10">
        <v>1254</v>
      </c>
      <c r="G183" s="10">
        <v>408804</v>
      </c>
      <c r="H183" s="10">
        <v>97244</v>
      </c>
    </row>
    <row r="184" spans="1:8" x14ac:dyDescent="0.25">
      <c r="A184">
        <v>2023</v>
      </c>
      <c r="B184" t="s">
        <v>14</v>
      </c>
      <c r="C184" t="s">
        <v>20</v>
      </c>
      <c r="D184" t="s">
        <v>28</v>
      </c>
      <c r="E184">
        <v>86</v>
      </c>
      <c r="F184" s="10">
        <v>1359</v>
      </c>
      <c r="G184" s="10">
        <v>116874</v>
      </c>
      <c r="H184" s="10">
        <v>26870</v>
      </c>
    </row>
    <row r="185" spans="1:8" x14ac:dyDescent="0.25">
      <c r="A185">
        <v>2023</v>
      </c>
      <c r="B185" t="s">
        <v>14</v>
      </c>
      <c r="C185" t="s">
        <v>20</v>
      </c>
      <c r="D185" t="s">
        <v>29</v>
      </c>
      <c r="E185">
        <v>81</v>
      </c>
      <c r="F185" s="10">
        <v>1087</v>
      </c>
      <c r="G185" s="10">
        <v>88047</v>
      </c>
      <c r="H185" s="10">
        <v>13776</v>
      </c>
    </row>
    <row r="186" spans="1:8" x14ac:dyDescent="0.25">
      <c r="A186">
        <v>2023</v>
      </c>
      <c r="B186" t="s">
        <v>14</v>
      </c>
      <c r="C186" t="s">
        <v>20</v>
      </c>
      <c r="D186" t="s">
        <v>30</v>
      </c>
      <c r="E186">
        <v>140</v>
      </c>
      <c r="F186" s="10">
        <v>1224</v>
      </c>
      <c r="G186" s="10">
        <v>171360</v>
      </c>
      <c r="H186" s="10">
        <v>42461</v>
      </c>
    </row>
    <row r="187" spans="1:8" x14ac:dyDescent="0.25">
      <c r="A187">
        <v>2023</v>
      </c>
      <c r="B187" t="s">
        <v>14</v>
      </c>
      <c r="C187" t="s">
        <v>21</v>
      </c>
      <c r="D187" t="s">
        <v>26</v>
      </c>
      <c r="E187">
        <v>337</v>
      </c>
      <c r="F187" s="10">
        <v>838</v>
      </c>
      <c r="G187" s="10">
        <v>282406</v>
      </c>
      <c r="H187" s="10">
        <v>44375</v>
      </c>
    </row>
    <row r="188" spans="1:8" x14ac:dyDescent="0.25">
      <c r="A188">
        <v>2023</v>
      </c>
      <c r="B188" t="s">
        <v>14</v>
      </c>
      <c r="C188" t="s">
        <v>21</v>
      </c>
      <c r="D188" t="s">
        <v>27</v>
      </c>
      <c r="E188">
        <v>384</v>
      </c>
      <c r="F188" s="10">
        <v>888</v>
      </c>
      <c r="G188" s="10">
        <v>340992</v>
      </c>
      <c r="H188" s="10">
        <v>76978</v>
      </c>
    </row>
    <row r="189" spans="1:8" x14ac:dyDescent="0.25">
      <c r="A189">
        <v>2023</v>
      </c>
      <c r="B189" t="s">
        <v>14</v>
      </c>
      <c r="C189" t="s">
        <v>21</v>
      </c>
      <c r="D189" t="s">
        <v>28</v>
      </c>
      <c r="E189">
        <v>172</v>
      </c>
      <c r="F189" s="10">
        <v>727</v>
      </c>
      <c r="G189" s="10">
        <v>125044</v>
      </c>
      <c r="H189" s="10">
        <v>15015</v>
      </c>
    </row>
    <row r="190" spans="1:8" x14ac:dyDescent="0.25">
      <c r="A190">
        <v>2023</v>
      </c>
      <c r="B190" t="s">
        <v>14</v>
      </c>
      <c r="C190" t="s">
        <v>21</v>
      </c>
      <c r="D190" t="s">
        <v>29</v>
      </c>
      <c r="E190">
        <v>380</v>
      </c>
      <c r="F190" s="10">
        <v>892</v>
      </c>
      <c r="G190" s="10">
        <v>338960</v>
      </c>
      <c r="H190" s="10">
        <v>75227</v>
      </c>
    </row>
    <row r="191" spans="1:8" x14ac:dyDescent="0.25">
      <c r="A191">
        <v>2023</v>
      </c>
      <c r="B191" t="s">
        <v>14</v>
      </c>
      <c r="C191" t="s">
        <v>21</v>
      </c>
      <c r="D191" t="s">
        <v>30</v>
      </c>
      <c r="E191">
        <v>206</v>
      </c>
      <c r="F191" s="10">
        <v>919</v>
      </c>
      <c r="G191" s="10">
        <v>189314</v>
      </c>
      <c r="H191" s="10">
        <v>34704</v>
      </c>
    </row>
    <row r="192" spans="1:8" x14ac:dyDescent="0.25">
      <c r="A192">
        <v>2023</v>
      </c>
      <c r="B192" t="s">
        <v>14</v>
      </c>
      <c r="C192" t="s">
        <v>22</v>
      </c>
      <c r="D192" t="s">
        <v>26</v>
      </c>
      <c r="E192">
        <v>128</v>
      </c>
      <c r="F192" s="10">
        <v>136</v>
      </c>
      <c r="G192" s="10">
        <v>17408</v>
      </c>
      <c r="H192" s="10">
        <v>3959</v>
      </c>
    </row>
    <row r="193" spans="1:8" x14ac:dyDescent="0.25">
      <c r="A193">
        <v>2023</v>
      </c>
      <c r="B193" t="s">
        <v>14</v>
      </c>
      <c r="C193" t="s">
        <v>22</v>
      </c>
      <c r="D193" t="s">
        <v>27</v>
      </c>
      <c r="E193">
        <v>218</v>
      </c>
      <c r="F193" s="10">
        <v>115</v>
      </c>
      <c r="G193" s="10">
        <v>25070</v>
      </c>
      <c r="H193" s="10">
        <v>3278</v>
      </c>
    </row>
    <row r="194" spans="1:8" x14ac:dyDescent="0.25">
      <c r="A194">
        <v>2023</v>
      </c>
      <c r="B194" t="s">
        <v>14</v>
      </c>
      <c r="C194" t="s">
        <v>22</v>
      </c>
      <c r="D194" t="s">
        <v>28</v>
      </c>
      <c r="E194">
        <v>78</v>
      </c>
      <c r="F194" s="10">
        <v>136</v>
      </c>
      <c r="G194" s="10">
        <v>10608</v>
      </c>
      <c r="H194" s="10">
        <v>2025</v>
      </c>
    </row>
    <row r="195" spans="1:8" x14ac:dyDescent="0.25">
      <c r="A195">
        <v>2023</v>
      </c>
      <c r="B195" t="s">
        <v>14</v>
      </c>
      <c r="C195" t="s">
        <v>22</v>
      </c>
      <c r="D195" t="s">
        <v>29</v>
      </c>
      <c r="E195">
        <v>357</v>
      </c>
      <c r="F195" s="10">
        <v>109</v>
      </c>
      <c r="G195" s="10">
        <v>38913</v>
      </c>
      <c r="H195" s="10">
        <v>5459</v>
      </c>
    </row>
    <row r="196" spans="1:8" x14ac:dyDescent="0.25">
      <c r="A196">
        <v>2023</v>
      </c>
      <c r="B196" t="s">
        <v>14</v>
      </c>
      <c r="C196" t="s">
        <v>22</v>
      </c>
      <c r="D196" t="s">
        <v>30</v>
      </c>
      <c r="E196">
        <v>115</v>
      </c>
      <c r="F196" s="10">
        <v>128</v>
      </c>
      <c r="G196" s="10">
        <v>14720</v>
      </c>
      <c r="H196" s="10">
        <v>2620</v>
      </c>
    </row>
    <row r="197" spans="1:8" x14ac:dyDescent="0.25">
      <c r="A197">
        <v>2023</v>
      </c>
      <c r="B197" t="s">
        <v>14</v>
      </c>
      <c r="C197" t="s">
        <v>23</v>
      </c>
      <c r="D197" t="s">
        <v>26</v>
      </c>
      <c r="E197">
        <v>192</v>
      </c>
      <c r="F197" s="10">
        <v>664</v>
      </c>
      <c r="G197" s="10">
        <v>127488</v>
      </c>
      <c r="H197" s="10">
        <v>18634</v>
      </c>
    </row>
    <row r="198" spans="1:8" x14ac:dyDescent="0.25">
      <c r="A198">
        <v>2023</v>
      </c>
      <c r="B198" t="s">
        <v>14</v>
      </c>
      <c r="C198" t="s">
        <v>23</v>
      </c>
      <c r="D198" t="s">
        <v>27</v>
      </c>
      <c r="E198">
        <v>129</v>
      </c>
      <c r="F198" s="10">
        <v>685</v>
      </c>
      <c r="G198" s="10">
        <v>88365</v>
      </c>
      <c r="H198" s="10">
        <v>10008</v>
      </c>
    </row>
    <row r="199" spans="1:8" x14ac:dyDescent="0.25">
      <c r="A199">
        <v>2023</v>
      </c>
      <c r="B199" t="s">
        <v>14</v>
      </c>
      <c r="C199" t="s">
        <v>23</v>
      </c>
      <c r="D199" t="s">
        <v>28</v>
      </c>
      <c r="E199">
        <v>321</v>
      </c>
      <c r="F199" s="10">
        <v>600</v>
      </c>
      <c r="G199" s="10">
        <v>192600</v>
      </c>
      <c r="H199" s="10">
        <v>23131</v>
      </c>
    </row>
    <row r="200" spans="1:8" x14ac:dyDescent="0.25">
      <c r="A200">
        <v>2023</v>
      </c>
      <c r="B200" t="s">
        <v>14</v>
      </c>
      <c r="C200" t="s">
        <v>23</v>
      </c>
      <c r="D200" t="s">
        <v>29</v>
      </c>
      <c r="E200">
        <v>372</v>
      </c>
      <c r="F200" s="10">
        <v>603</v>
      </c>
      <c r="G200" s="10">
        <v>224316</v>
      </c>
      <c r="H200" s="10">
        <v>48833</v>
      </c>
    </row>
    <row r="201" spans="1:8" x14ac:dyDescent="0.25">
      <c r="A201">
        <v>2023</v>
      </c>
      <c r="B201" t="s">
        <v>14</v>
      </c>
      <c r="C201" t="s">
        <v>23</v>
      </c>
      <c r="D201" t="s">
        <v>30</v>
      </c>
      <c r="E201">
        <v>141</v>
      </c>
      <c r="F201" s="10">
        <v>660</v>
      </c>
      <c r="G201" s="10">
        <v>93060</v>
      </c>
      <c r="H201" s="10">
        <v>21913</v>
      </c>
    </row>
    <row r="202" spans="1:8" x14ac:dyDescent="0.25">
      <c r="A202">
        <v>2023</v>
      </c>
      <c r="B202" t="s">
        <v>14</v>
      </c>
      <c r="C202" t="s">
        <v>24</v>
      </c>
      <c r="D202" t="s">
        <v>26</v>
      </c>
      <c r="E202">
        <v>264</v>
      </c>
      <c r="F202" s="10">
        <v>225</v>
      </c>
      <c r="G202" s="10">
        <v>59400</v>
      </c>
      <c r="H202" s="10">
        <v>9063</v>
      </c>
    </row>
    <row r="203" spans="1:8" x14ac:dyDescent="0.25">
      <c r="A203">
        <v>2023</v>
      </c>
      <c r="B203" t="s">
        <v>14</v>
      </c>
      <c r="C203" t="s">
        <v>24</v>
      </c>
      <c r="D203" t="s">
        <v>27</v>
      </c>
      <c r="E203">
        <v>172</v>
      </c>
      <c r="F203" s="10">
        <v>264</v>
      </c>
      <c r="G203" s="10">
        <v>45408</v>
      </c>
      <c r="H203" s="10">
        <v>8319</v>
      </c>
    </row>
    <row r="204" spans="1:8" x14ac:dyDescent="0.25">
      <c r="A204">
        <v>2023</v>
      </c>
      <c r="B204" t="s">
        <v>14</v>
      </c>
      <c r="C204" t="s">
        <v>24</v>
      </c>
      <c r="D204" t="s">
        <v>28</v>
      </c>
      <c r="E204">
        <v>377</v>
      </c>
      <c r="F204" s="10">
        <v>259</v>
      </c>
      <c r="G204" s="10">
        <v>97643</v>
      </c>
      <c r="H204" s="10">
        <v>16368</v>
      </c>
    </row>
    <row r="205" spans="1:8" x14ac:dyDescent="0.25">
      <c r="A205">
        <v>2023</v>
      </c>
      <c r="B205" t="s">
        <v>14</v>
      </c>
      <c r="C205" t="s">
        <v>24</v>
      </c>
      <c r="D205" t="s">
        <v>29</v>
      </c>
      <c r="E205">
        <v>106</v>
      </c>
      <c r="F205" s="10">
        <v>263</v>
      </c>
      <c r="G205" s="10">
        <v>27878</v>
      </c>
      <c r="H205" s="10">
        <v>6393</v>
      </c>
    </row>
    <row r="206" spans="1:8" x14ac:dyDescent="0.25">
      <c r="A206">
        <v>2023</v>
      </c>
      <c r="B206" t="s">
        <v>14</v>
      </c>
      <c r="C206" t="s">
        <v>24</v>
      </c>
      <c r="D206" t="s">
        <v>30</v>
      </c>
      <c r="E206">
        <v>206</v>
      </c>
      <c r="F206" s="10">
        <v>274</v>
      </c>
      <c r="G206" s="10">
        <v>56444</v>
      </c>
      <c r="H206" s="10">
        <v>9533</v>
      </c>
    </row>
    <row r="207" spans="1:8" x14ac:dyDescent="0.25">
      <c r="A207">
        <v>2023</v>
      </c>
      <c r="B207" t="s">
        <v>14</v>
      </c>
      <c r="C207" t="s">
        <v>25</v>
      </c>
      <c r="D207" t="s">
        <v>26</v>
      </c>
      <c r="E207">
        <v>343</v>
      </c>
      <c r="F207" s="10">
        <v>337</v>
      </c>
      <c r="G207" s="10">
        <v>115591</v>
      </c>
      <c r="H207" s="10">
        <v>19519</v>
      </c>
    </row>
    <row r="208" spans="1:8" x14ac:dyDescent="0.25">
      <c r="A208">
        <v>2023</v>
      </c>
      <c r="B208" t="s">
        <v>14</v>
      </c>
      <c r="C208" t="s">
        <v>25</v>
      </c>
      <c r="D208" t="s">
        <v>27</v>
      </c>
      <c r="E208">
        <v>110</v>
      </c>
      <c r="F208" s="10">
        <v>369</v>
      </c>
      <c r="G208" s="10">
        <v>40590</v>
      </c>
      <c r="H208" s="10">
        <v>6174</v>
      </c>
    </row>
    <row r="209" spans="1:8" x14ac:dyDescent="0.25">
      <c r="A209">
        <v>2023</v>
      </c>
      <c r="B209" t="s">
        <v>14</v>
      </c>
      <c r="C209" t="s">
        <v>25</v>
      </c>
      <c r="D209" t="s">
        <v>28</v>
      </c>
      <c r="E209">
        <v>199</v>
      </c>
      <c r="F209" s="10">
        <v>370</v>
      </c>
      <c r="G209" s="10">
        <v>73630</v>
      </c>
      <c r="H209" s="10">
        <v>10015</v>
      </c>
    </row>
    <row r="210" spans="1:8" x14ac:dyDescent="0.25">
      <c r="A210">
        <v>2023</v>
      </c>
      <c r="B210" t="s">
        <v>14</v>
      </c>
      <c r="C210" t="s">
        <v>25</v>
      </c>
      <c r="D210" t="s">
        <v>29</v>
      </c>
      <c r="E210">
        <v>185</v>
      </c>
      <c r="F210" s="10">
        <v>326</v>
      </c>
      <c r="G210" s="10">
        <v>60310</v>
      </c>
      <c r="H210" s="10">
        <v>7189</v>
      </c>
    </row>
    <row r="211" spans="1:8" x14ac:dyDescent="0.25">
      <c r="A211">
        <v>2023</v>
      </c>
      <c r="B211" t="s">
        <v>14</v>
      </c>
      <c r="C211" t="s">
        <v>25</v>
      </c>
      <c r="D211" t="s">
        <v>30</v>
      </c>
      <c r="E211">
        <v>169</v>
      </c>
      <c r="F211" s="10">
        <v>350</v>
      </c>
      <c r="G211" s="10">
        <v>59150</v>
      </c>
      <c r="H211" s="10">
        <v>12105</v>
      </c>
    </row>
    <row r="212" spans="1:8" x14ac:dyDescent="0.25">
      <c r="A212">
        <v>2023</v>
      </c>
      <c r="B212" t="s">
        <v>15</v>
      </c>
      <c r="C212" t="s">
        <v>20</v>
      </c>
      <c r="D212" t="s">
        <v>26</v>
      </c>
      <c r="E212">
        <v>251</v>
      </c>
      <c r="F212" s="10">
        <v>1203</v>
      </c>
      <c r="G212" s="10">
        <v>301953</v>
      </c>
      <c r="H212" s="10">
        <v>69795</v>
      </c>
    </row>
    <row r="213" spans="1:8" x14ac:dyDescent="0.25">
      <c r="A213">
        <v>2023</v>
      </c>
      <c r="B213" t="s">
        <v>15</v>
      </c>
      <c r="C213" t="s">
        <v>20</v>
      </c>
      <c r="D213" t="s">
        <v>27</v>
      </c>
      <c r="E213">
        <v>223</v>
      </c>
      <c r="F213" s="10">
        <v>1280</v>
      </c>
      <c r="G213" s="10">
        <v>285440</v>
      </c>
      <c r="H213" s="10">
        <v>35922</v>
      </c>
    </row>
    <row r="214" spans="1:8" x14ac:dyDescent="0.25">
      <c r="A214">
        <v>2023</v>
      </c>
      <c r="B214" t="s">
        <v>15</v>
      </c>
      <c r="C214" t="s">
        <v>20</v>
      </c>
      <c r="D214" t="s">
        <v>28</v>
      </c>
      <c r="E214">
        <v>192</v>
      </c>
      <c r="F214" s="10">
        <v>1147</v>
      </c>
      <c r="G214" s="10">
        <v>220224</v>
      </c>
      <c r="H214" s="10">
        <v>49169</v>
      </c>
    </row>
    <row r="215" spans="1:8" x14ac:dyDescent="0.25">
      <c r="A215">
        <v>2023</v>
      </c>
      <c r="B215" t="s">
        <v>15</v>
      </c>
      <c r="C215" t="s">
        <v>20</v>
      </c>
      <c r="D215" t="s">
        <v>29</v>
      </c>
      <c r="E215">
        <v>163</v>
      </c>
      <c r="F215" s="10">
        <v>1184</v>
      </c>
      <c r="G215" s="10">
        <v>192992</v>
      </c>
      <c r="H215" s="10">
        <v>20219</v>
      </c>
    </row>
    <row r="216" spans="1:8" x14ac:dyDescent="0.25">
      <c r="A216">
        <v>2023</v>
      </c>
      <c r="B216" t="s">
        <v>15</v>
      </c>
      <c r="C216" t="s">
        <v>20</v>
      </c>
      <c r="D216" t="s">
        <v>30</v>
      </c>
      <c r="E216">
        <v>76</v>
      </c>
      <c r="F216" s="10">
        <v>1240</v>
      </c>
      <c r="G216" s="10">
        <v>94240</v>
      </c>
      <c r="H216" s="10">
        <v>14456</v>
      </c>
    </row>
    <row r="217" spans="1:8" x14ac:dyDescent="0.25">
      <c r="A217">
        <v>2023</v>
      </c>
      <c r="B217" t="s">
        <v>15</v>
      </c>
      <c r="C217" t="s">
        <v>21</v>
      </c>
      <c r="D217" t="s">
        <v>26</v>
      </c>
      <c r="E217">
        <v>119</v>
      </c>
      <c r="F217" s="10">
        <v>792</v>
      </c>
      <c r="G217" s="10">
        <v>94248</v>
      </c>
      <c r="H217" s="10">
        <v>16541</v>
      </c>
    </row>
    <row r="218" spans="1:8" x14ac:dyDescent="0.25">
      <c r="A218">
        <v>2023</v>
      </c>
      <c r="B218" t="s">
        <v>15</v>
      </c>
      <c r="C218" t="s">
        <v>21</v>
      </c>
      <c r="D218" t="s">
        <v>27</v>
      </c>
      <c r="E218">
        <v>363</v>
      </c>
      <c r="F218" s="10">
        <v>784</v>
      </c>
      <c r="G218" s="10">
        <v>284592</v>
      </c>
      <c r="H218" s="10">
        <v>32398</v>
      </c>
    </row>
    <row r="219" spans="1:8" x14ac:dyDescent="0.25">
      <c r="A219">
        <v>2023</v>
      </c>
      <c r="B219" t="s">
        <v>15</v>
      </c>
      <c r="C219" t="s">
        <v>21</v>
      </c>
      <c r="D219" t="s">
        <v>28</v>
      </c>
      <c r="E219">
        <v>120</v>
      </c>
      <c r="F219" s="10">
        <v>845</v>
      </c>
      <c r="G219" s="10">
        <v>101400</v>
      </c>
      <c r="H219" s="10">
        <v>11383</v>
      </c>
    </row>
    <row r="220" spans="1:8" x14ac:dyDescent="0.25">
      <c r="A220">
        <v>2023</v>
      </c>
      <c r="B220" t="s">
        <v>15</v>
      </c>
      <c r="C220" t="s">
        <v>21</v>
      </c>
      <c r="D220" t="s">
        <v>29</v>
      </c>
      <c r="E220">
        <v>177</v>
      </c>
      <c r="F220" s="10">
        <v>904</v>
      </c>
      <c r="G220" s="10">
        <v>160008</v>
      </c>
      <c r="H220" s="10">
        <v>17466</v>
      </c>
    </row>
    <row r="221" spans="1:8" x14ac:dyDescent="0.25">
      <c r="A221">
        <v>2023</v>
      </c>
      <c r="B221" t="s">
        <v>15</v>
      </c>
      <c r="C221" t="s">
        <v>21</v>
      </c>
      <c r="D221" t="s">
        <v>30</v>
      </c>
      <c r="E221">
        <v>100</v>
      </c>
      <c r="F221" s="10">
        <v>893</v>
      </c>
      <c r="G221" s="10">
        <v>89300</v>
      </c>
      <c r="H221" s="10">
        <v>10062</v>
      </c>
    </row>
    <row r="222" spans="1:8" x14ac:dyDescent="0.25">
      <c r="A222">
        <v>2023</v>
      </c>
      <c r="B222" t="s">
        <v>15</v>
      </c>
      <c r="C222" t="s">
        <v>22</v>
      </c>
      <c r="D222" t="s">
        <v>26</v>
      </c>
      <c r="E222">
        <v>317</v>
      </c>
      <c r="F222" s="10">
        <v>137</v>
      </c>
      <c r="G222" s="10">
        <v>43429</v>
      </c>
      <c r="H222" s="10">
        <v>7838</v>
      </c>
    </row>
    <row r="223" spans="1:8" x14ac:dyDescent="0.25">
      <c r="A223">
        <v>2023</v>
      </c>
      <c r="B223" t="s">
        <v>15</v>
      </c>
      <c r="C223" t="s">
        <v>22</v>
      </c>
      <c r="D223" t="s">
        <v>27</v>
      </c>
      <c r="E223">
        <v>129</v>
      </c>
      <c r="F223" s="10">
        <v>122</v>
      </c>
      <c r="G223" s="10">
        <v>15738</v>
      </c>
      <c r="H223" s="10">
        <v>3033</v>
      </c>
    </row>
    <row r="224" spans="1:8" x14ac:dyDescent="0.25">
      <c r="A224">
        <v>2023</v>
      </c>
      <c r="B224" t="s">
        <v>15</v>
      </c>
      <c r="C224" t="s">
        <v>22</v>
      </c>
      <c r="D224" t="s">
        <v>28</v>
      </c>
      <c r="E224">
        <v>150</v>
      </c>
      <c r="F224" s="10">
        <v>121</v>
      </c>
      <c r="G224" s="10">
        <v>18150</v>
      </c>
      <c r="H224" s="10">
        <v>3849</v>
      </c>
    </row>
    <row r="225" spans="1:8" x14ac:dyDescent="0.25">
      <c r="A225">
        <v>2023</v>
      </c>
      <c r="B225" t="s">
        <v>15</v>
      </c>
      <c r="C225" t="s">
        <v>22</v>
      </c>
      <c r="D225" t="s">
        <v>29</v>
      </c>
      <c r="E225">
        <v>88</v>
      </c>
      <c r="F225" s="10">
        <v>112</v>
      </c>
      <c r="G225" s="10">
        <v>9856</v>
      </c>
      <c r="H225" s="10">
        <v>1182</v>
      </c>
    </row>
    <row r="226" spans="1:8" x14ac:dyDescent="0.25">
      <c r="A226">
        <v>2023</v>
      </c>
      <c r="B226" t="s">
        <v>15</v>
      </c>
      <c r="C226" t="s">
        <v>22</v>
      </c>
      <c r="D226" t="s">
        <v>30</v>
      </c>
      <c r="E226">
        <v>78</v>
      </c>
      <c r="F226" s="10">
        <v>134</v>
      </c>
      <c r="G226" s="10">
        <v>10452</v>
      </c>
      <c r="H226" s="10">
        <v>1847</v>
      </c>
    </row>
    <row r="227" spans="1:8" x14ac:dyDescent="0.25">
      <c r="A227">
        <v>2023</v>
      </c>
      <c r="B227" t="s">
        <v>15</v>
      </c>
      <c r="C227" t="s">
        <v>23</v>
      </c>
      <c r="D227" t="s">
        <v>26</v>
      </c>
      <c r="E227">
        <v>304</v>
      </c>
      <c r="F227" s="10">
        <v>544</v>
      </c>
      <c r="G227" s="10">
        <v>165376</v>
      </c>
      <c r="H227" s="10">
        <v>38050</v>
      </c>
    </row>
    <row r="228" spans="1:8" x14ac:dyDescent="0.25">
      <c r="A228">
        <v>2023</v>
      </c>
      <c r="B228" t="s">
        <v>15</v>
      </c>
      <c r="C228" t="s">
        <v>23</v>
      </c>
      <c r="D228" t="s">
        <v>27</v>
      </c>
      <c r="E228">
        <v>356</v>
      </c>
      <c r="F228" s="10">
        <v>619</v>
      </c>
      <c r="G228" s="10">
        <v>220364</v>
      </c>
      <c r="H228" s="10">
        <v>30051</v>
      </c>
    </row>
    <row r="229" spans="1:8" x14ac:dyDescent="0.25">
      <c r="A229">
        <v>2023</v>
      </c>
      <c r="B229" t="s">
        <v>15</v>
      </c>
      <c r="C229" t="s">
        <v>23</v>
      </c>
      <c r="D229" t="s">
        <v>28</v>
      </c>
      <c r="E229">
        <v>189</v>
      </c>
      <c r="F229" s="10">
        <v>596</v>
      </c>
      <c r="G229" s="10">
        <v>112644</v>
      </c>
      <c r="H229" s="10">
        <v>11603</v>
      </c>
    </row>
    <row r="230" spans="1:8" x14ac:dyDescent="0.25">
      <c r="A230">
        <v>2023</v>
      </c>
      <c r="B230" t="s">
        <v>15</v>
      </c>
      <c r="C230" t="s">
        <v>23</v>
      </c>
      <c r="D230" t="s">
        <v>29</v>
      </c>
      <c r="E230">
        <v>336</v>
      </c>
      <c r="F230" s="10">
        <v>571</v>
      </c>
      <c r="G230" s="10">
        <v>191856</v>
      </c>
      <c r="H230" s="10">
        <v>28610</v>
      </c>
    </row>
    <row r="231" spans="1:8" x14ac:dyDescent="0.25">
      <c r="A231">
        <v>2023</v>
      </c>
      <c r="B231" t="s">
        <v>15</v>
      </c>
      <c r="C231" t="s">
        <v>23</v>
      </c>
      <c r="D231" t="s">
        <v>30</v>
      </c>
      <c r="E231">
        <v>362</v>
      </c>
      <c r="F231" s="10">
        <v>574</v>
      </c>
      <c r="G231" s="10">
        <v>207788</v>
      </c>
      <c r="H231" s="10">
        <v>31467</v>
      </c>
    </row>
    <row r="232" spans="1:8" x14ac:dyDescent="0.25">
      <c r="A232">
        <v>2023</v>
      </c>
      <c r="B232" t="s">
        <v>15</v>
      </c>
      <c r="C232" t="s">
        <v>24</v>
      </c>
      <c r="D232" t="s">
        <v>26</v>
      </c>
      <c r="E232">
        <v>99</v>
      </c>
      <c r="F232" s="10">
        <v>267</v>
      </c>
      <c r="G232" s="10">
        <v>26433</v>
      </c>
      <c r="H232" s="10">
        <v>5772</v>
      </c>
    </row>
    <row r="233" spans="1:8" x14ac:dyDescent="0.25">
      <c r="A233">
        <v>2023</v>
      </c>
      <c r="B233" t="s">
        <v>15</v>
      </c>
      <c r="C233" t="s">
        <v>24</v>
      </c>
      <c r="D233" t="s">
        <v>27</v>
      </c>
      <c r="E233">
        <v>179</v>
      </c>
      <c r="F233" s="10">
        <v>254</v>
      </c>
      <c r="G233" s="10">
        <v>45466</v>
      </c>
      <c r="H233" s="10">
        <v>8530</v>
      </c>
    </row>
    <row r="234" spans="1:8" x14ac:dyDescent="0.25">
      <c r="A234">
        <v>2023</v>
      </c>
      <c r="B234" t="s">
        <v>15</v>
      </c>
      <c r="C234" t="s">
        <v>24</v>
      </c>
      <c r="D234" t="s">
        <v>28</v>
      </c>
      <c r="E234">
        <v>108</v>
      </c>
      <c r="F234" s="10">
        <v>259</v>
      </c>
      <c r="G234" s="10">
        <v>27972</v>
      </c>
      <c r="H234" s="10">
        <v>5258</v>
      </c>
    </row>
    <row r="235" spans="1:8" x14ac:dyDescent="0.25">
      <c r="A235">
        <v>2023</v>
      </c>
      <c r="B235" t="s">
        <v>15</v>
      </c>
      <c r="C235" t="s">
        <v>24</v>
      </c>
      <c r="D235" t="s">
        <v>29</v>
      </c>
      <c r="E235">
        <v>301</v>
      </c>
      <c r="F235" s="10">
        <v>232</v>
      </c>
      <c r="G235" s="10">
        <v>69832</v>
      </c>
      <c r="H235" s="10">
        <v>9955</v>
      </c>
    </row>
    <row r="236" spans="1:8" x14ac:dyDescent="0.25">
      <c r="A236">
        <v>2023</v>
      </c>
      <c r="B236" t="s">
        <v>15</v>
      </c>
      <c r="C236" t="s">
        <v>24</v>
      </c>
      <c r="D236" t="s">
        <v>30</v>
      </c>
      <c r="E236">
        <v>81</v>
      </c>
      <c r="F236" s="10">
        <v>281</v>
      </c>
      <c r="G236" s="10">
        <v>22761</v>
      </c>
      <c r="H236" s="10">
        <v>4350</v>
      </c>
    </row>
    <row r="237" spans="1:8" x14ac:dyDescent="0.25">
      <c r="A237">
        <v>2023</v>
      </c>
      <c r="B237" t="s">
        <v>15</v>
      </c>
      <c r="C237" t="s">
        <v>25</v>
      </c>
      <c r="D237" t="s">
        <v>26</v>
      </c>
      <c r="E237">
        <v>376</v>
      </c>
      <c r="F237" s="10">
        <v>401</v>
      </c>
      <c r="G237" s="10">
        <v>150776</v>
      </c>
      <c r="H237" s="10">
        <v>28778</v>
      </c>
    </row>
    <row r="238" spans="1:8" x14ac:dyDescent="0.25">
      <c r="A238">
        <v>2023</v>
      </c>
      <c r="B238" t="s">
        <v>15</v>
      </c>
      <c r="C238" t="s">
        <v>25</v>
      </c>
      <c r="D238" t="s">
        <v>27</v>
      </c>
      <c r="E238">
        <v>352</v>
      </c>
      <c r="F238" s="10">
        <v>315</v>
      </c>
      <c r="G238" s="10">
        <v>110880</v>
      </c>
      <c r="H238" s="10">
        <v>14835</v>
      </c>
    </row>
    <row r="239" spans="1:8" x14ac:dyDescent="0.25">
      <c r="A239">
        <v>2023</v>
      </c>
      <c r="B239" t="s">
        <v>15</v>
      </c>
      <c r="C239" t="s">
        <v>25</v>
      </c>
      <c r="D239" t="s">
        <v>28</v>
      </c>
      <c r="E239">
        <v>142</v>
      </c>
      <c r="F239" s="10">
        <v>336</v>
      </c>
      <c r="G239" s="10">
        <v>47712</v>
      </c>
      <c r="H239" s="10">
        <v>5921</v>
      </c>
    </row>
    <row r="240" spans="1:8" x14ac:dyDescent="0.25">
      <c r="A240">
        <v>2023</v>
      </c>
      <c r="B240" t="s">
        <v>15</v>
      </c>
      <c r="C240" t="s">
        <v>25</v>
      </c>
      <c r="D240" t="s">
        <v>29</v>
      </c>
      <c r="E240">
        <v>379</v>
      </c>
      <c r="F240" s="10">
        <v>385</v>
      </c>
      <c r="G240" s="10">
        <v>145915</v>
      </c>
      <c r="H240" s="10">
        <v>15809</v>
      </c>
    </row>
    <row r="241" spans="1:8" x14ac:dyDescent="0.25">
      <c r="A241">
        <v>2023</v>
      </c>
      <c r="B241" t="s">
        <v>15</v>
      </c>
      <c r="C241" t="s">
        <v>25</v>
      </c>
      <c r="D241" t="s">
        <v>30</v>
      </c>
      <c r="E241">
        <v>206</v>
      </c>
      <c r="F241" s="10">
        <v>322</v>
      </c>
      <c r="G241" s="10">
        <v>66332</v>
      </c>
      <c r="H241" s="10">
        <v>11851</v>
      </c>
    </row>
    <row r="242" spans="1:8" x14ac:dyDescent="0.25">
      <c r="A242">
        <v>2023</v>
      </c>
      <c r="B242" t="s">
        <v>16</v>
      </c>
      <c r="C242" t="s">
        <v>20</v>
      </c>
      <c r="D242" t="s">
        <v>26</v>
      </c>
      <c r="E242">
        <v>113</v>
      </c>
      <c r="F242" s="10">
        <v>1289</v>
      </c>
      <c r="G242" s="10">
        <v>145657</v>
      </c>
      <c r="H242" s="10">
        <v>36354</v>
      </c>
    </row>
    <row r="243" spans="1:8" x14ac:dyDescent="0.25">
      <c r="A243">
        <v>2023</v>
      </c>
      <c r="B243" t="s">
        <v>16</v>
      </c>
      <c r="C243" t="s">
        <v>20</v>
      </c>
      <c r="D243" t="s">
        <v>27</v>
      </c>
      <c r="E243">
        <v>80</v>
      </c>
      <c r="F243" s="10">
        <v>1199</v>
      </c>
      <c r="G243" s="10">
        <v>95920</v>
      </c>
      <c r="H243" s="10">
        <v>23540</v>
      </c>
    </row>
    <row r="244" spans="1:8" x14ac:dyDescent="0.25">
      <c r="A244">
        <v>2023</v>
      </c>
      <c r="B244" t="s">
        <v>16</v>
      </c>
      <c r="C244" t="s">
        <v>20</v>
      </c>
      <c r="D244" t="s">
        <v>28</v>
      </c>
      <c r="E244">
        <v>78</v>
      </c>
      <c r="F244" s="10">
        <v>1081</v>
      </c>
      <c r="G244" s="10">
        <v>84318</v>
      </c>
      <c r="H244" s="10">
        <v>20764</v>
      </c>
    </row>
    <row r="245" spans="1:8" x14ac:dyDescent="0.25">
      <c r="A245">
        <v>2023</v>
      </c>
      <c r="B245" t="s">
        <v>16</v>
      </c>
      <c r="C245" t="s">
        <v>20</v>
      </c>
      <c r="D245" t="s">
        <v>29</v>
      </c>
      <c r="E245">
        <v>164</v>
      </c>
      <c r="F245" s="10">
        <v>1131</v>
      </c>
      <c r="G245" s="10">
        <v>185484</v>
      </c>
      <c r="H245" s="10">
        <v>37151</v>
      </c>
    </row>
    <row r="246" spans="1:8" x14ac:dyDescent="0.25">
      <c r="A246">
        <v>2023</v>
      </c>
      <c r="B246" t="s">
        <v>16</v>
      </c>
      <c r="C246" t="s">
        <v>20</v>
      </c>
      <c r="D246" t="s">
        <v>30</v>
      </c>
      <c r="E246">
        <v>259</v>
      </c>
      <c r="F246" s="10">
        <v>1247</v>
      </c>
      <c r="G246" s="10">
        <v>322973</v>
      </c>
      <c r="H246" s="10">
        <v>59989</v>
      </c>
    </row>
    <row r="247" spans="1:8" x14ac:dyDescent="0.25">
      <c r="A247">
        <v>2023</v>
      </c>
      <c r="B247" t="s">
        <v>16</v>
      </c>
      <c r="C247" t="s">
        <v>21</v>
      </c>
      <c r="D247" t="s">
        <v>26</v>
      </c>
      <c r="E247">
        <v>239</v>
      </c>
      <c r="F247" s="10">
        <v>873</v>
      </c>
      <c r="G247" s="10">
        <v>208647</v>
      </c>
      <c r="H247" s="10">
        <v>26718</v>
      </c>
    </row>
    <row r="248" spans="1:8" x14ac:dyDescent="0.25">
      <c r="A248">
        <v>2023</v>
      </c>
      <c r="B248" t="s">
        <v>16</v>
      </c>
      <c r="C248" t="s">
        <v>21</v>
      </c>
      <c r="D248" t="s">
        <v>27</v>
      </c>
      <c r="E248">
        <v>187</v>
      </c>
      <c r="F248" s="10">
        <v>862</v>
      </c>
      <c r="G248" s="10">
        <v>161194</v>
      </c>
      <c r="H248" s="10">
        <v>20943</v>
      </c>
    </row>
    <row r="249" spans="1:8" x14ac:dyDescent="0.25">
      <c r="A249">
        <v>2023</v>
      </c>
      <c r="B249" t="s">
        <v>16</v>
      </c>
      <c r="C249" t="s">
        <v>21</v>
      </c>
      <c r="D249" t="s">
        <v>28</v>
      </c>
      <c r="E249">
        <v>94</v>
      </c>
      <c r="F249" s="10">
        <v>768</v>
      </c>
      <c r="G249" s="10">
        <v>72192</v>
      </c>
      <c r="H249" s="10">
        <v>8462</v>
      </c>
    </row>
    <row r="250" spans="1:8" x14ac:dyDescent="0.25">
      <c r="A250">
        <v>2023</v>
      </c>
      <c r="B250" t="s">
        <v>16</v>
      </c>
      <c r="C250" t="s">
        <v>21</v>
      </c>
      <c r="D250" t="s">
        <v>29</v>
      </c>
      <c r="E250">
        <v>160</v>
      </c>
      <c r="F250" s="10">
        <v>873</v>
      </c>
      <c r="G250" s="10">
        <v>139680</v>
      </c>
      <c r="H250" s="10">
        <v>15796</v>
      </c>
    </row>
    <row r="251" spans="1:8" x14ac:dyDescent="0.25">
      <c r="A251">
        <v>2023</v>
      </c>
      <c r="B251" t="s">
        <v>16</v>
      </c>
      <c r="C251" t="s">
        <v>21</v>
      </c>
      <c r="D251" t="s">
        <v>30</v>
      </c>
      <c r="E251">
        <v>207</v>
      </c>
      <c r="F251" s="10">
        <v>906</v>
      </c>
      <c r="G251" s="10">
        <v>187542</v>
      </c>
      <c r="H251" s="10">
        <v>27774</v>
      </c>
    </row>
    <row r="252" spans="1:8" x14ac:dyDescent="0.25">
      <c r="A252">
        <v>2023</v>
      </c>
      <c r="B252" t="s">
        <v>16</v>
      </c>
      <c r="C252" t="s">
        <v>22</v>
      </c>
      <c r="D252" t="s">
        <v>26</v>
      </c>
      <c r="E252">
        <v>321</v>
      </c>
      <c r="F252" s="10">
        <v>109</v>
      </c>
      <c r="G252" s="10">
        <v>34989</v>
      </c>
      <c r="H252" s="10">
        <v>5265</v>
      </c>
    </row>
    <row r="253" spans="1:8" x14ac:dyDescent="0.25">
      <c r="A253">
        <v>2023</v>
      </c>
      <c r="B253" t="s">
        <v>16</v>
      </c>
      <c r="C253" t="s">
        <v>22</v>
      </c>
      <c r="D253" t="s">
        <v>27</v>
      </c>
      <c r="E253">
        <v>84</v>
      </c>
      <c r="F253" s="10">
        <v>124</v>
      </c>
      <c r="G253" s="10">
        <v>10416</v>
      </c>
      <c r="H253" s="10">
        <v>1899</v>
      </c>
    </row>
    <row r="254" spans="1:8" x14ac:dyDescent="0.25">
      <c r="A254">
        <v>2023</v>
      </c>
      <c r="B254" t="s">
        <v>16</v>
      </c>
      <c r="C254" t="s">
        <v>22</v>
      </c>
      <c r="D254" t="s">
        <v>28</v>
      </c>
      <c r="E254">
        <v>87</v>
      </c>
      <c r="F254" s="10">
        <v>128</v>
      </c>
      <c r="G254" s="10">
        <v>11136</v>
      </c>
      <c r="H254" s="10">
        <v>1260</v>
      </c>
    </row>
    <row r="255" spans="1:8" x14ac:dyDescent="0.25">
      <c r="A255">
        <v>2023</v>
      </c>
      <c r="B255" t="s">
        <v>16</v>
      </c>
      <c r="C255" t="s">
        <v>22</v>
      </c>
      <c r="D255" t="s">
        <v>29</v>
      </c>
      <c r="E255">
        <v>378</v>
      </c>
      <c r="F255" s="10">
        <v>128</v>
      </c>
      <c r="G255" s="10">
        <v>48384</v>
      </c>
      <c r="H255" s="10">
        <v>10355</v>
      </c>
    </row>
    <row r="256" spans="1:8" x14ac:dyDescent="0.25">
      <c r="A256">
        <v>2023</v>
      </c>
      <c r="B256" t="s">
        <v>16</v>
      </c>
      <c r="C256" t="s">
        <v>22</v>
      </c>
      <c r="D256" t="s">
        <v>30</v>
      </c>
      <c r="E256">
        <v>111</v>
      </c>
      <c r="F256" s="10">
        <v>120</v>
      </c>
      <c r="G256" s="10">
        <v>13320</v>
      </c>
      <c r="H256" s="10">
        <v>2029</v>
      </c>
    </row>
    <row r="257" spans="1:8" x14ac:dyDescent="0.25">
      <c r="A257">
        <v>2023</v>
      </c>
      <c r="B257" t="s">
        <v>16</v>
      </c>
      <c r="C257" t="s">
        <v>23</v>
      </c>
      <c r="D257" t="s">
        <v>26</v>
      </c>
      <c r="E257">
        <v>364</v>
      </c>
      <c r="F257" s="10">
        <v>667</v>
      </c>
      <c r="G257" s="10">
        <v>242788</v>
      </c>
      <c r="H257" s="10">
        <v>51445</v>
      </c>
    </row>
    <row r="258" spans="1:8" x14ac:dyDescent="0.25">
      <c r="A258">
        <v>2023</v>
      </c>
      <c r="B258" t="s">
        <v>16</v>
      </c>
      <c r="C258" t="s">
        <v>23</v>
      </c>
      <c r="D258" t="s">
        <v>27</v>
      </c>
      <c r="E258">
        <v>205</v>
      </c>
      <c r="F258" s="10">
        <v>570</v>
      </c>
      <c r="G258" s="10">
        <v>116850</v>
      </c>
      <c r="H258" s="10">
        <v>18331</v>
      </c>
    </row>
    <row r="259" spans="1:8" x14ac:dyDescent="0.25">
      <c r="A259">
        <v>2023</v>
      </c>
      <c r="B259" t="s">
        <v>16</v>
      </c>
      <c r="C259" t="s">
        <v>23</v>
      </c>
      <c r="D259" t="s">
        <v>28</v>
      </c>
      <c r="E259">
        <v>76</v>
      </c>
      <c r="F259" s="10">
        <v>651</v>
      </c>
      <c r="G259" s="10">
        <v>49476</v>
      </c>
      <c r="H259" s="10">
        <v>9210</v>
      </c>
    </row>
    <row r="260" spans="1:8" x14ac:dyDescent="0.25">
      <c r="A260">
        <v>2023</v>
      </c>
      <c r="B260" t="s">
        <v>16</v>
      </c>
      <c r="C260" t="s">
        <v>23</v>
      </c>
      <c r="D260" t="s">
        <v>29</v>
      </c>
      <c r="E260">
        <v>379</v>
      </c>
      <c r="F260" s="10">
        <v>657</v>
      </c>
      <c r="G260" s="10">
        <v>249003</v>
      </c>
      <c r="H260" s="10">
        <v>55824</v>
      </c>
    </row>
    <row r="261" spans="1:8" x14ac:dyDescent="0.25">
      <c r="A261">
        <v>2023</v>
      </c>
      <c r="B261" t="s">
        <v>16</v>
      </c>
      <c r="C261" t="s">
        <v>23</v>
      </c>
      <c r="D261" t="s">
        <v>30</v>
      </c>
      <c r="E261">
        <v>292</v>
      </c>
      <c r="F261" s="10">
        <v>570</v>
      </c>
      <c r="G261" s="10">
        <v>166440</v>
      </c>
      <c r="H261" s="10">
        <v>20729</v>
      </c>
    </row>
    <row r="262" spans="1:8" x14ac:dyDescent="0.25">
      <c r="A262">
        <v>2023</v>
      </c>
      <c r="B262" t="s">
        <v>16</v>
      </c>
      <c r="C262" t="s">
        <v>24</v>
      </c>
      <c r="D262" t="s">
        <v>26</v>
      </c>
      <c r="E262">
        <v>277</v>
      </c>
      <c r="F262" s="10">
        <v>236</v>
      </c>
      <c r="G262" s="10">
        <v>65372</v>
      </c>
      <c r="H262" s="10">
        <v>8848</v>
      </c>
    </row>
    <row r="263" spans="1:8" x14ac:dyDescent="0.25">
      <c r="A263">
        <v>2023</v>
      </c>
      <c r="B263" t="s">
        <v>16</v>
      </c>
      <c r="C263" t="s">
        <v>24</v>
      </c>
      <c r="D263" t="s">
        <v>27</v>
      </c>
      <c r="E263">
        <v>149</v>
      </c>
      <c r="F263" s="10">
        <v>257</v>
      </c>
      <c r="G263" s="10">
        <v>38293</v>
      </c>
      <c r="H263" s="10">
        <v>5890</v>
      </c>
    </row>
    <row r="264" spans="1:8" x14ac:dyDescent="0.25">
      <c r="A264">
        <v>2023</v>
      </c>
      <c r="B264" t="s">
        <v>16</v>
      </c>
      <c r="C264" t="s">
        <v>24</v>
      </c>
      <c r="D264" t="s">
        <v>28</v>
      </c>
      <c r="E264">
        <v>300</v>
      </c>
      <c r="F264" s="10">
        <v>261</v>
      </c>
      <c r="G264" s="10">
        <v>78300</v>
      </c>
      <c r="H264" s="10">
        <v>15851</v>
      </c>
    </row>
    <row r="265" spans="1:8" x14ac:dyDescent="0.25">
      <c r="A265">
        <v>2023</v>
      </c>
      <c r="B265" t="s">
        <v>16</v>
      </c>
      <c r="C265" t="s">
        <v>24</v>
      </c>
      <c r="D265" t="s">
        <v>29</v>
      </c>
      <c r="E265">
        <v>355</v>
      </c>
      <c r="F265" s="10">
        <v>269</v>
      </c>
      <c r="G265" s="10">
        <v>95495</v>
      </c>
      <c r="H265" s="10">
        <v>22436</v>
      </c>
    </row>
    <row r="266" spans="1:8" x14ac:dyDescent="0.25">
      <c r="A266">
        <v>2023</v>
      </c>
      <c r="B266" t="s">
        <v>16</v>
      </c>
      <c r="C266" t="s">
        <v>24</v>
      </c>
      <c r="D266" t="s">
        <v>30</v>
      </c>
      <c r="E266">
        <v>193</v>
      </c>
      <c r="F266" s="10">
        <v>243</v>
      </c>
      <c r="G266" s="10">
        <v>46899</v>
      </c>
      <c r="H266" s="10">
        <v>9949</v>
      </c>
    </row>
    <row r="267" spans="1:8" x14ac:dyDescent="0.25">
      <c r="A267">
        <v>2023</v>
      </c>
      <c r="B267" t="s">
        <v>16</v>
      </c>
      <c r="C267" t="s">
        <v>25</v>
      </c>
      <c r="D267" t="s">
        <v>26</v>
      </c>
      <c r="E267">
        <v>210</v>
      </c>
      <c r="F267" s="10">
        <v>365</v>
      </c>
      <c r="G267" s="10">
        <v>76650</v>
      </c>
      <c r="H267" s="10">
        <v>11750</v>
      </c>
    </row>
    <row r="268" spans="1:8" x14ac:dyDescent="0.25">
      <c r="A268">
        <v>2023</v>
      </c>
      <c r="B268" t="s">
        <v>16</v>
      </c>
      <c r="C268" t="s">
        <v>25</v>
      </c>
      <c r="D268" t="s">
        <v>27</v>
      </c>
      <c r="E268">
        <v>368</v>
      </c>
      <c r="F268" s="10">
        <v>394</v>
      </c>
      <c r="G268" s="10">
        <v>144992</v>
      </c>
      <c r="H268" s="10">
        <v>28075</v>
      </c>
    </row>
    <row r="269" spans="1:8" x14ac:dyDescent="0.25">
      <c r="A269">
        <v>2023</v>
      </c>
      <c r="B269" t="s">
        <v>16</v>
      </c>
      <c r="C269" t="s">
        <v>25</v>
      </c>
      <c r="D269" t="s">
        <v>28</v>
      </c>
      <c r="E269">
        <v>263</v>
      </c>
      <c r="F269" s="10">
        <v>397</v>
      </c>
      <c r="G269" s="10">
        <v>104411</v>
      </c>
      <c r="H269" s="10">
        <v>20272</v>
      </c>
    </row>
    <row r="270" spans="1:8" x14ac:dyDescent="0.25">
      <c r="A270">
        <v>2023</v>
      </c>
      <c r="B270" t="s">
        <v>16</v>
      </c>
      <c r="C270" t="s">
        <v>25</v>
      </c>
      <c r="D270" t="s">
        <v>29</v>
      </c>
      <c r="E270">
        <v>114</v>
      </c>
      <c r="F270" s="10">
        <v>327</v>
      </c>
      <c r="G270" s="10">
        <v>37278</v>
      </c>
      <c r="H270" s="10">
        <v>8167</v>
      </c>
    </row>
    <row r="271" spans="1:8" x14ac:dyDescent="0.25">
      <c r="A271">
        <v>2023</v>
      </c>
      <c r="B271" t="s">
        <v>16</v>
      </c>
      <c r="C271" t="s">
        <v>25</v>
      </c>
      <c r="D271" t="s">
        <v>30</v>
      </c>
      <c r="E271">
        <v>224</v>
      </c>
      <c r="F271" s="10">
        <v>358</v>
      </c>
      <c r="G271" s="10">
        <v>80192</v>
      </c>
      <c r="H271" s="10">
        <v>16938</v>
      </c>
    </row>
    <row r="272" spans="1:8" x14ac:dyDescent="0.25">
      <c r="A272">
        <v>2023</v>
      </c>
      <c r="B272" t="s">
        <v>17</v>
      </c>
      <c r="C272" t="s">
        <v>20</v>
      </c>
      <c r="D272" t="s">
        <v>26</v>
      </c>
      <c r="E272">
        <v>225</v>
      </c>
      <c r="F272" s="10">
        <v>1125</v>
      </c>
      <c r="G272" s="10">
        <v>253125</v>
      </c>
      <c r="H272" s="10">
        <v>37148</v>
      </c>
    </row>
    <row r="273" spans="1:8" x14ac:dyDescent="0.25">
      <c r="A273">
        <v>2023</v>
      </c>
      <c r="B273" t="s">
        <v>17</v>
      </c>
      <c r="C273" t="s">
        <v>20</v>
      </c>
      <c r="D273" t="s">
        <v>27</v>
      </c>
      <c r="E273">
        <v>352</v>
      </c>
      <c r="F273" s="10">
        <v>1090</v>
      </c>
      <c r="G273" s="10">
        <v>383680</v>
      </c>
      <c r="H273" s="10">
        <v>71166</v>
      </c>
    </row>
    <row r="274" spans="1:8" x14ac:dyDescent="0.25">
      <c r="A274">
        <v>2023</v>
      </c>
      <c r="B274" t="s">
        <v>17</v>
      </c>
      <c r="C274" t="s">
        <v>20</v>
      </c>
      <c r="D274" t="s">
        <v>28</v>
      </c>
      <c r="E274">
        <v>85</v>
      </c>
      <c r="F274" s="10">
        <v>1228</v>
      </c>
      <c r="G274" s="10">
        <v>104380</v>
      </c>
      <c r="H274" s="10">
        <v>22253</v>
      </c>
    </row>
    <row r="275" spans="1:8" x14ac:dyDescent="0.25">
      <c r="A275">
        <v>2023</v>
      </c>
      <c r="B275" t="s">
        <v>17</v>
      </c>
      <c r="C275" t="s">
        <v>20</v>
      </c>
      <c r="D275" t="s">
        <v>29</v>
      </c>
      <c r="E275">
        <v>188</v>
      </c>
      <c r="F275" s="10">
        <v>1326</v>
      </c>
      <c r="G275" s="10">
        <v>249288</v>
      </c>
      <c r="H275" s="10">
        <v>29065</v>
      </c>
    </row>
    <row r="276" spans="1:8" x14ac:dyDescent="0.25">
      <c r="A276">
        <v>2023</v>
      </c>
      <c r="B276" t="s">
        <v>17</v>
      </c>
      <c r="C276" t="s">
        <v>20</v>
      </c>
      <c r="D276" t="s">
        <v>30</v>
      </c>
      <c r="E276">
        <v>293</v>
      </c>
      <c r="F276" s="10">
        <v>1217</v>
      </c>
      <c r="G276" s="10">
        <v>356581</v>
      </c>
      <c r="H276" s="10">
        <v>67962</v>
      </c>
    </row>
    <row r="277" spans="1:8" x14ac:dyDescent="0.25">
      <c r="A277">
        <v>2023</v>
      </c>
      <c r="B277" t="s">
        <v>17</v>
      </c>
      <c r="C277" t="s">
        <v>21</v>
      </c>
      <c r="D277" t="s">
        <v>26</v>
      </c>
      <c r="E277">
        <v>89</v>
      </c>
      <c r="F277" s="10">
        <v>879</v>
      </c>
      <c r="G277" s="10">
        <v>78231</v>
      </c>
      <c r="H277" s="10">
        <v>9582</v>
      </c>
    </row>
    <row r="278" spans="1:8" x14ac:dyDescent="0.25">
      <c r="A278">
        <v>2023</v>
      </c>
      <c r="B278" t="s">
        <v>17</v>
      </c>
      <c r="C278" t="s">
        <v>21</v>
      </c>
      <c r="D278" t="s">
        <v>27</v>
      </c>
      <c r="E278">
        <v>120</v>
      </c>
      <c r="F278" s="10">
        <v>801</v>
      </c>
      <c r="G278" s="10">
        <v>96120</v>
      </c>
      <c r="H278" s="10">
        <v>20740</v>
      </c>
    </row>
    <row r="279" spans="1:8" x14ac:dyDescent="0.25">
      <c r="A279">
        <v>2023</v>
      </c>
      <c r="B279" t="s">
        <v>17</v>
      </c>
      <c r="C279" t="s">
        <v>21</v>
      </c>
      <c r="D279" t="s">
        <v>28</v>
      </c>
      <c r="E279">
        <v>166</v>
      </c>
      <c r="F279" s="10">
        <v>839</v>
      </c>
      <c r="G279" s="10">
        <v>139274</v>
      </c>
      <c r="H279" s="10">
        <v>25741</v>
      </c>
    </row>
    <row r="280" spans="1:8" x14ac:dyDescent="0.25">
      <c r="A280">
        <v>2023</v>
      </c>
      <c r="B280" t="s">
        <v>17</v>
      </c>
      <c r="C280" t="s">
        <v>21</v>
      </c>
      <c r="D280" t="s">
        <v>29</v>
      </c>
      <c r="E280">
        <v>345</v>
      </c>
      <c r="F280" s="10">
        <v>770</v>
      </c>
      <c r="G280" s="10">
        <v>265650</v>
      </c>
      <c r="H280" s="10">
        <v>40340</v>
      </c>
    </row>
    <row r="281" spans="1:8" x14ac:dyDescent="0.25">
      <c r="A281">
        <v>2023</v>
      </c>
      <c r="B281" t="s">
        <v>17</v>
      </c>
      <c r="C281" t="s">
        <v>21</v>
      </c>
      <c r="D281" t="s">
        <v>30</v>
      </c>
      <c r="E281">
        <v>86</v>
      </c>
      <c r="F281" s="10">
        <v>911</v>
      </c>
      <c r="G281" s="10">
        <v>78346</v>
      </c>
      <c r="H281" s="10">
        <v>11859</v>
      </c>
    </row>
    <row r="282" spans="1:8" x14ac:dyDescent="0.25">
      <c r="A282">
        <v>2023</v>
      </c>
      <c r="B282" t="s">
        <v>17</v>
      </c>
      <c r="C282" t="s">
        <v>22</v>
      </c>
      <c r="D282" t="s">
        <v>26</v>
      </c>
      <c r="E282">
        <v>203</v>
      </c>
      <c r="F282" s="10">
        <v>120</v>
      </c>
      <c r="G282" s="10">
        <v>24360</v>
      </c>
      <c r="H282" s="10">
        <v>4124</v>
      </c>
    </row>
    <row r="283" spans="1:8" x14ac:dyDescent="0.25">
      <c r="A283">
        <v>2023</v>
      </c>
      <c r="B283" t="s">
        <v>17</v>
      </c>
      <c r="C283" t="s">
        <v>22</v>
      </c>
      <c r="D283" t="s">
        <v>27</v>
      </c>
      <c r="E283">
        <v>364</v>
      </c>
      <c r="F283" s="10">
        <v>126</v>
      </c>
      <c r="G283" s="10">
        <v>45864</v>
      </c>
      <c r="H283" s="10">
        <v>10859</v>
      </c>
    </row>
    <row r="284" spans="1:8" x14ac:dyDescent="0.25">
      <c r="A284">
        <v>2023</v>
      </c>
      <c r="B284" t="s">
        <v>17</v>
      </c>
      <c r="C284" t="s">
        <v>22</v>
      </c>
      <c r="D284" t="s">
        <v>28</v>
      </c>
      <c r="E284">
        <v>175</v>
      </c>
      <c r="F284" s="10">
        <v>123</v>
      </c>
      <c r="G284" s="10">
        <v>21525</v>
      </c>
      <c r="H284" s="10">
        <v>4126</v>
      </c>
    </row>
    <row r="285" spans="1:8" x14ac:dyDescent="0.25">
      <c r="A285">
        <v>2023</v>
      </c>
      <c r="B285" t="s">
        <v>17</v>
      </c>
      <c r="C285" t="s">
        <v>22</v>
      </c>
      <c r="D285" t="s">
        <v>29</v>
      </c>
      <c r="E285">
        <v>181</v>
      </c>
      <c r="F285" s="10">
        <v>129</v>
      </c>
      <c r="G285" s="10">
        <v>23349</v>
      </c>
      <c r="H285" s="10">
        <v>4411</v>
      </c>
    </row>
    <row r="286" spans="1:8" x14ac:dyDescent="0.25">
      <c r="A286">
        <v>2023</v>
      </c>
      <c r="B286" t="s">
        <v>17</v>
      </c>
      <c r="C286" t="s">
        <v>22</v>
      </c>
      <c r="D286" t="s">
        <v>30</v>
      </c>
      <c r="E286">
        <v>202</v>
      </c>
      <c r="F286" s="10">
        <v>135</v>
      </c>
      <c r="G286" s="10">
        <v>27270</v>
      </c>
      <c r="H286" s="10">
        <v>5619</v>
      </c>
    </row>
    <row r="287" spans="1:8" x14ac:dyDescent="0.25">
      <c r="A287">
        <v>2023</v>
      </c>
      <c r="B287" t="s">
        <v>17</v>
      </c>
      <c r="C287" t="s">
        <v>23</v>
      </c>
      <c r="D287" t="s">
        <v>26</v>
      </c>
      <c r="E287">
        <v>176</v>
      </c>
      <c r="F287" s="10">
        <v>655</v>
      </c>
      <c r="G287" s="10">
        <v>115280</v>
      </c>
      <c r="H287" s="10">
        <v>18002</v>
      </c>
    </row>
    <row r="288" spans="1:8" x14ac:dyDescent="0.25">
      <c r="A288">
        <v>2023</v>
      </c>
      <c r="B288" t="s">
        <v>17</v>
      </c>
      <c r="C288" t="s">
        <v>23</v>
      </c>
      <c r="D288" t="s">
        <v>27</v>
      </c>
      <c r="E288">
        <v>124</v>
      </c>
      <c r="F288" s="10">
        <v>650</v>
      </c>
      <c r="G288" s="10">
        <v>80600</v>
      </c>
      <c r="H288" s="10">
        <v>19356</v>
      </c>
    </row>
    <row r="289" spans="1:8" x14ac:dyDescent="0.25">
      <c r="A289">
        <v>2023</v>
      </c>
      <c r="B289" t="s">
        <v>17</v>
      </c>
      <c r="C289" t="s">
        <v>23</v>
      </c>
      <c r="D289" t="s">
        <v>28</v>
      </c>
      <c r="E289">
        <v>280</v>
      </c>
      <c r="F289" s="10">
        <v>676</v>
      </c>
      <c r="G289" s="10">
        <v>189280</v>
      </c>
      <c r="H289" s="10">
        <v>22414</v>
      </c>
    </row>
    <row r="290" spans="1:8" x14ac:dyDescent="0.25">
      <c r="A290">
        <v>2023</v>
      </c>
      <c r="B290" t="s">
        <v>17</v>
      </c>
      <c r="C290" t="s">
        <v>23</v>
      </c>
      <c r="D290" t="s">
        <v>29</v>
      </c>
      <c r="E290">
        <v>172</v>
      </c>
      <c r="F290" s="10">
        <v>687</v>
      </c>
      <c r="G290" s="10">
        <v>118164</v>
      </c>
      <c r="H290" s="10">
        <v>26685</v>
      </c>
    </row>
    <row r="291" spans="1:8" x14ac:dyDescent="0.25">
      <c r="A291">
        <v>2023</v>
      </c>
      <c r="B291" t="s">
        <v>17</v>
      </c>
      <c r="C291" t="s">
        <v>23</v>
      </c>
      <c r="D291" t="s">
        <v>30</v>
      </c>
      <c r="E291">
        <v>249</v>
      </c>
      <c r="F291" s="10">
        <v>665</v>
      </c>
      <c r="G291" s="10">
        <v>165585</v>
      </c>
      <c r="H291" s="10">
        <v>24808</v>
      </c>
    </row>
    <row r="292" spans="1:8" x14ac:dyDescent="0.25">
      <c r="A292">
        <v>2023</v>
      </c>
      <c r="B292" t="s">
        <v>17</v>
      </c>
      <c r="C292" t="s">
        <v>24</v>
      </c>
      <c r="D292" t="s">
        <v>26</v>
      </c>
      <c r="E292">
        <v>128</v>
      </c>
      <c r="F292" s="10">
        <v>239</v>
      </c>
      <c r="G292" s="10">
        <v>30592</v>
      </c>
      <c r="H292" s="10">
        <v>5848</v>
      </c>
    </row>
    <row r="293" spans="1:8" x14ac:dyDescent="0.25">
      <c r="A293">
        <v>2023</v>
      </c>
      <c r="B293" t="s">
        <v>17</v>
      </c>
      <c r="C293" t="s">
        <v>24</v>
      </c>
      <c r="D293" t="s">
        <v>27</v>
      </c>
      <c r="E293">
        <v>371</v>
      </c>
      <c r="F293" s="10">
        <v>245</v>
      </c>
      <c r="G293" s="10">
        <v>90895</v>
      </c>
      <c r="H293" s="10">
        <v>20035</v>
      </c>
    </row>
    <row r="294" spans="1:8" x14ac:dyDescent="0.25">
      <c r="A294">
        <v>2023</v>
      </c>
      <c r="B294" t="s">
        <v>17</v>
      </c>
      <c r="C294" t="s">
        <v>24</v>
      </c>
      <c r="D294" t="s">
        <v>28</v>
      </c>
      <c r="E294">
        <v>187</v>
      </c>
      <c r="F294" s="10">
        <v>262</v>
      </c>
      <c r="G294" s="10">
        <v>48994</v>
      </c>
      <c r="H294" s="10">
        <v>5739</v>
      </c>
    </row>
    <row r="295" spans="1:8" x14ac:dyDescent="0.25">
      <c r="A295">
        <v>2023</v>
      </c>
      <c r="B295" t="s">
        <v>17</v>
      </c>
      <c r="C295" t="s">
        <v>24</v>
      </c>
      <c r="D295" t="s">
        <v>29</v>
      </c>
      <c r="E295">
        <v>309</v>
      </c>
      <c r="F295" s="10">
        <v>258</v>
      </c>
      <c r="G295" s="10">
        <v>79722</v>
      </c>
      <c r="H295" s="10">
        <v>18972</v>
      </c>
    </row>
    <row r="296" spans="1:8" x14ac:dyDescent="0.25">
      <c r="A296">
        <v>2023</v>
      </c>
      <c r="B296" t="s">
        <v>17</v>
      </c>
      <c r="C296" t="s">
        <v>24</v>
      </c>
      <c r="D296" t="s">
        <v>30</v>
      </c>
      <c r="E296">
        <v>276</v>
      </c>
      <c r="F296" s="10">
        <v>255</v>
      </c>
      <c r="G296" s="10">
        <v>70380</v>
      </c>
      <c r="H296" s="10">
        <v>16734</v>
      </c>
    </row>
    <row r="297" spans="1:8" x14ac:dyDescent="0.25">
      <c r="A297">
        <v>2023</v>
      </c>
      <c r="B297" t="s">
        <v>17</v>
      </c>
      <c r="C297" t="s">
        <v>25</v>
      </c>
      <c r="D297" t="s">
        <v>26</v>
      </c>
      <c r="E297">
        <v>198</v>
      </c>
      <c r="F297" s="10">
        <v>334</v>
      </c>
      <c r="G297" s="10">
        <v>66132</v>
      </c>
      <c r="H297" s="10">
        <v>11101</v>
      </c>
    </row>
    <row r="298" spans="1:8" x14ac:dyDescent="0.25">
      <c r="A298">
        <v>2023</v>
      </c>
      <c r="B298" t="s">
        <v>17</v>
      </c>
      <c r="C298" t="s">
        <v>25</v>
      </c>
      <c r="D298" t="s">
        <v>27</v>
      </c>
      <c r="E298">
        <v>246</v>
      </c>
      <c r="F298" s="10">
        <v>336</v>
      </c>
      <c r="G298" s="10">
        <v>82656</v>
      </c>
      <c r="H298" s="10">
        <v>15427</v>
      </c>
    </row>
    <row r="299" spans="1:8" x14ac:dyDescent="0.25">
      <c r="A299">
        <v>2023</v>
      </c>
      <c r="B299" t="s">
        <v>17</v>
      </c>
      <c r="C299" t="s">
        <v>25</v>
      </c>
      <c r="D299" t="s">
        <v>28</v>
      </c>
      <c r="E299">
        <v>247</v>
      </c>
      <c r="F299" s="10">
        <v>351</v>
      </c>
      <c r="G299" s="10">
        <v>86697</v>
      </c>
      <c r="H299" s="10">
        <v>20566</v>
      </c>
    </row>
    <row r="300" spans="1:8" x14ac:dyDescent="0.25">
      <c r="A300">
        <v>2023</v>
      </c>
      <c r="B300" t="s">
        <v>17</v>
      </c>
      <c r="C300" t="s">
        <v>25</v>
      </c>
      <c r="D300" t="s">
        <v>29</v>
      </c>
      <c r="E300">
        <v>244</v>
      </c>
      <c r="F300" s="10">
        <v>383</v>
      </c>
      <c r="G300" s="10">
        <v>93452</v>
      </c>
      <c r="H300" s="10">
        <v>13236</v>
      </c>
    </row>
    <row r="301" spans="1:8" x14ac:dyDescent="0.25">
      <c r="A301">
        <v>2023</v>
      </c>
      <c r="B301" t="s">
        <v>17</v>
      </c>
      <c r="C301" t="s">
        <v>25</v>
      </c>
      <c r="D301" t="s">
        <v>30</v>
      </c>
      <c r="E301">
        <v>222</v>
      </c>
      <c r="F301" s="10">
        <v>316</v>
      </c>
      <c r="G301" s="10">
        <v>70152</v>
      </c>
      <c r="H301" s="10">
        <v>13997</v>
      </c>
    </row>
    <row r="302" spans="1:8" x14ac:dyDescent="0.25">
      <c r="A302">
        <v>2023</v>
      </c>
      <c r="B302" t="s">
        <v>18</v>
      </c>
      <c r="C302" t="s">
        <v>20</v>
      </c>
      <c r="D302" t="s">
        <v>26</v>
      </c>
      <c r="E302">
        <v>158</v>
      </c>
      <c r="F302" s="10">
        <v>1217</v>
      </c>
      <c r="G302" s="10">
        <v>192286</v>
      </c>
      <c r="H302" s="10">
        <v>35302</v>
      </c>
    </row>
    <row r="303" spans="1:8" x14ac:dyDescent="0.25">
      <c r="A303">
        <v>2023</v>
      </c>
      <c r="B303" t="s">
        <v>18</v>
      </c>
      <c r="C303" t="s">
        <v>20</v>
      </c>
      <c r="D303" t="s">
        <v>27</v>
      </c>
      <c r="E303">
        <v>138</v>
      </c>
      <c r="F303" s="10">
        <v>1379</v>
      </c>
      <c r="G303" s="10">
        <v>190302</v>
      </c>
      <c r="H303" s="10">
        <v>33365</v>
      </c>
    </row>
    <row r="304" spans="1:8" x14ac:dyDescent="0.25">
      <c r="A304">
        <v>2023</v>
      </c>
      <c r="B304" t="s">
        <v>18</v>
      </c>
      <c r="C304" t="s">
        <v>20</v>
      </c>
      <c r="D304" t="s">
        <v>28</v>
      </c>
      <c r="E304">
        <v>327</v>
      </c>
      <c r="F304" s="10">
        <v>1172</v>
      </c>
      <c r="G304" s="10">
        <v>383244</v>
      </c>
      <c r="H304" s="10">
        <v>61164</v>
      </c>
    </row>
    <row r="305" spans="1:8" x14ac:dyDescent="0.25">
      <c r="A305">
        <v>2023</v>
      </c>
      <c r="B305" t="s">
        <v>18</v>
      </c>
      <c r="C305" t="s">
        <v>20</v>
      </c>
      <c r="D305" t="s">
        <v>29</v>
      </c>
      <c r="E305">
        <v>282</v>
      </c>
      <c r="F305" s="10">
        <v>1184</v>
      </c>
      <c r="G305" s="10">
        <v>333888</v>
      </c>
      <c r="H305" s="10">
        <v>56839</v>
      </c>
    </row>
    <row r="306" spans="1:8" x14ac:dyDescent="0.25">
      <c r="A306">
        <v>2023</v>
      </c>
      <c r="B306" t="s">
        <v>18</v>
      </c>
      <c r="C306" t="s">
        <v>20</v>
      </c>
      <c r="D306" t="s">
        <v>30</v>
      </c>
      <c r="E306">
        <v>374</v>
      </c>
      <c r="F306" s="10">
        <v>1090</v>
      </c>
      <c r="G306" s="10">
        <v>407660</v>
      </c>
      <c r="H306" s="10">
        <v>69632</v>
      </c>
    </row>
    <row r="307" spans="1:8" x14ac:dyDescent="0.25">
      <c r="A307">
        <v>2023</v>
      </c>
      <c r="B307" t="s">
        <v>18</v>
      </c>
      <c r="C307" t="s">
        <v>21</v>
      </c>
      <c r="D307" t="s">
        <v>26</v>
      </c>
      <c r="E307">
        <v>95</v>
      </c>
      <c r="F307" s="10">
        <v>733</v>
      </c>
      <c r="G307" s="10">
        <v>69635</v>
      </c>
      <c r="H307" s="10">
        <v>15064</v>
      </c>
    </row>
    <row r="308" spans="1:8" x14ac:dyDescent="0.25">
      <c r="A308">
        <v>2023</v>
      </c>
      <c r="B308" t="s">
        <v>18</v>
      </c>
      <c r="C308" t="s">
        <v>21</v>
      </c>
      <c r="D308" t="s">
        <v>27</v>
      </c>
      <c r="E308">
        <v>247</v>
      </c>
      <c r="F308" s="10">
        <v>825</v>
      </c>
      <c r="G308" s="10">
        <v>203775</v>
      </c>
      <c r="H308" s="10">
        <v>36713</v>
      </c>
    </row>
    <row r="309" spans="1:8" x14ac:dyDescent="0.25">
      <c r="A309">
        <v>2023</v>
      </c>
      <c r="B309" t="s">
        <v>18</v>
      </c>
      <c r="C309" t="s">
        <v>21</v>
      </c>
      <c r="D309" t="s">
        <v>28</v>
      </c>
      <c r="E309">
        <v>187</v>
      </c>
      <c r="F309" s="10">
        <v>800</v>
      </c>
      <c r="G309" s="10">
        <v>149600</v>
      </c>
      <c r="H309" s="10">
        <v>27518</v>
      </c>
    </row>
    <row r="310" spans="1:8" x14ac:dyDescent="0.25">
      <c r="A310">
        <v>2023</v>
      </c>
      <c r="B310" t="s">
        <v>18</v>
      </c>
      <c r="C310" t="s">
        <v>21</v>
      </c>
      <c r="D310" t="s">
        <v>29</v>
      </c>
      <c r="E310">
        <v>388</v>
      </c>
      <c r="F310" s="10">
        <v>740</v>
      </c>
      <c r="G310" s="10">
        <v>287120</v>
      </c>
      <c r="H310" s="10">
        <v>43112</v>
      </c>
    </row>
    <row r="311" spans="1:8" x14ac:dyDescent="0.25">
      <c r="A311">
        <v>2023</v>
      </c>
      <c r="B311" t="s">
        <v>18</v>
      </c>
      <c r="C311" t="s">
        <v>21</v>
      </c>
      <c r="D311" t="s">
        <v>30</v>
      </c>
      <c r="E311">
        <v>130</v>
      </c>
      <c r="F311" s="10">
        <v>909</v>
      </c>
      <c r="G311" s="10">
        <v>118170</v>
      </c>
      <c r="H311" s="10">
        <v>18434</v>
      </c>
    </row>
    <row r="312" spans="1:8" x14ac:dyDescent="0.25">
      <c r="A312">
        <v>2023</v>
      </c>
      <c r="B312" t="s">
        <v>18</v>
      </c>
      <c r="C312" t="s">
        <v>22</v>
      </c>
      <c r="D312" t="s">
        <v>26</v>
      </c>
      <c r="E312">
        <v>234</v>
      </c>
      <c r="F312" s="10">
        <v>120</v>
      </c>
      <c r="G312" s="10">
        <v>28080</v>
      </c>
      <c r="H312" s="10">
        <v>2914</v>
      </c>
    </row>
    <row r="313" spans="1:8" x14ac:dyDescent="0.25">
      <c r="A313">
        <v>2023</v>
      </c>
      <c r="B313" t="s">
        <v>18</v>
      </c>
      <c r="C313" t="s">
        <v>22</v>
      </c>
      <c r="D313" t="s">
        <v>27</v>
      </c>
      <c r="E313">
        <v>357</v>
      </c>
      <c r="F313" s="10">
        <v>129</v>
      </c>
      <c r="G313" s="10">
        <v>46053</v>
      </c>
      <c r="H313" s="10">
        <v>9157</v>
      </c>
    </row>
    <row r="314" spans="1:8" x14ac:dyDescent="0.25">
      <c r="A314">
        <v>2023</v>
      </c>
      <c r="B314" t="s">
        <v>18</v>
      </c>
      <c r="C314" t="s">
        <v>22</v>
      </c>
      <c r="D314" t="s">
        <v>28</v>
      </c>
      <c r="E314">
        <v>382</v>
      </c>
      <c r="F314" s="10">
        <v>114</v>
      </c>
      <c r="G314" s="10">
        <v>43548</v>
      </c>
      <c r="H314" s="10">
        <v>5864</v>
      </c>
    </row>
    <row r="315" spans="1:8" x14ac:dyDescent="0.25">
      <c r="A315">
        <v>2023</v>
      </c>
      <c r="B315" t="s">
        <v>18</v>
      </c>
      <c r="C315" t="s">
        <v>22</v>
      </c>
      <c r="D315" t="s">
        <v>29</v>
      </c>
      <c r="E315">
        <v>325</v>
      </c>
      <c r="F315" s="10">
        <v>108</v>
      </c>
      <c r="G315" s="10">
        <v>35100</v>
      </c>
      <c r="H315" s="10">
        <v>4058</v>
      </c>
    </row>
    <row r="316" spans="1:8" x14ac:dyDescent="0.25">
      <c r="A316">
        <v>2023</v>
      </c>
      <c r="B316" t="s">
        <v>18</v>
      </c>
      <c r="C316" t="s">
        <v>22</v>
      </c>
      <c r="D316" t="s">
        <v>30</v>
      </c>
      <c r="E316">
        <v>310</v>
      </c>
      <c r="F316" s="10">
        <v>125</v>
      </c>
      <c r="G316" s="10">
        <v>38750</v>
      </c>
      <c r="H316" s="10">
        <v>9033</v>
      </c>
    </row>
    <row r="317" spans="1:8" x14ac:dyDescent="0.25">
      <c r="A317">
        <v>2023</v>
      </c>
      <c r="B317" t="s">
        <v>18</v>
      </c>
      <c r="C317" t="s">
        <v>23</v>
      </c>
      <c r="D317" t="s">
        <v>26</v>
      </c>
      <c r="E317">
        <v>166</v>
      </c>
      <c r="F317" s="10">
        <v>575</v>
      </c>
      <c r="G317" s="10">
        <v>95450</v>
      </c>
      <c r="H317" s="10">
        <v>10968</v>
      </c>
    </row>
    <row r="318" spans="1:8" x14ac:dyDescent="0.25">
      <c r="A318">
        <v>2023</v>
      </c>
      <c r="B318" t="s">
        <v>18</v>
      </c>
      <c r="C318" t="s">
        <v>23</v>
      </c>
      <c r="D318" t="s">
        <v>27</v>
      </c>
      <c r="E318">
        <v>170</v>
      </c>
      <c r="F318" s="10">
        <v>688</v>
      </c>
      <c r="G318" s="10">
        <v>116960</v>
      </c>
      <c r="H318" s="10">
        <v>22278</v>
      </c>
    </row>
    <row r="319" spans="1:8" x14ac:dyDescent="0.25">
      <c r="A319">
        <v>2023</v>
      </c>
      <c r="B319" t="s">
        <v>18</v>
      </c>
      <c r="C319" t="s">
        <v>23</v>
      </c>
      <c r="D319" t="s">
        <v>28</v>
      </c>
      <c r="E319">
        <v>371</v>
      </c>
      <c r="F319" s="10">
        <v>664</v>
      </c>
      <c r="G319" s="10">
        <v>246344</v>
      </c>
      <c r="H319" s="10">
        <v>39310</v>
      </c>
    </row>
    <row r="320" spans="1:8" x14ac:dyDescent="0.25">
      <c r="A320">
        <v>2023</v>
      </c>
      <c r="B320" t="s">
        <v>18</v>
      </c>
      <c r="C320" t="s">
        <v>23</v>
      </c>
      <c r="D320" t="s">
        <v>29</v>
      </c>
      <c r="E320">
        <v>237</v>
      </c>
      <c r="F320" s="10">
        <v>561</v>
      </c>
      <c r="G320" s="10">
        <v>132957</v>
      </c>
      <c r="H320" s="10">
        <v>21400</v>
      </c>
    </row>
    <row r="321" spans="1:8" x14ac:dyDescent="0.25">
      <c r="A321">
        <v>2023</v>
      </c>
      <c r="B321" t="s">
        <v>18</v>
      </c>
      <c r="C321" t="s">
        <v>23</v>
      </c>
      <c r="D321" t="s">
        <v>30</v>
      </c>
      <c r="E321">
        <v>380</v>
      </c>
      <c r="F321" s="10">
        <v>674</v>
      </c>
      <c r="G321" s="10">
        <v>256120</v>
      </c>
      <c r="H321" s="10">
        <v>26111</v>
      </c>
    </row>
    <row r="322" spans="1:8" x14ac:dyDescent="0.25">
      <c r="A322">
        <v>2023</v>
      </c>
      <c r="B322" t="s">
        <v>18</v>
      </c>
      <c r="C322" t="s">
        <v>24</v>
      </c>
      <c r="D322" t="s">
        <v>26</v>
      </c>
      <c r="E322">
        <v>333</v>
      </c>
      <c r="F322" s="10">
        <v>270</v>
      </c>
      <c r="G322" s="10">
        <v>89910</v>
      </c>
      <c r="H322" s="10">
        <v>20429</v>
      </c>
    </row>
    <row r="323" spans="1:8" x14ac:dyDescent="0.25">
      <c r="A323">
        <v>2023</v>
      </c>
      <c r="B323" t="s">
        <v>18</v>
      </c>
      <c r="C323" t="s">
        <v>24</v>
      </c>
      <c r="D323" t="s">
        <v>27</v>
      </c>
      <c r="E323">
        <v>186</v>
      </c>
      <c r="F323" s="10">
        <v>236</v>
      </c>
      <c r="G323" s="10">
        <v>43896</v>
      </c>
      <c r="H323" s="10">
        <v>8228</v>
      </c>
    </row>
    <row r="324" spans="1:8" x14ac:dyDescent="0.25">
      <c r="A324">
        <v>2023</v>
      </c>
      <c r="B324" t="s">
        <v>18</v>
      </c>
      <c r="C324" t="s">
        <v>24</v>
      </c>
      <c r="D324" t="s">
        <v>28</v>
      </c>
      <c r="E324">
        <v>260</v>
      </c>
      <c r="F324" s="10">
        <v>268</v>
      </c>
      <c r="G324" s="10">
        <v>69680</v>
      </c>
      <c r="H324" s="10">
        <v>16485</v>
      </c>
    </row>
    <row r="325" spans="1:8" x14ac:dyDescent="0.25">
      <c r="A325">
        <v>2023</v>
      </c>
      <c r="B325" t="s">
        <v>18</v>
      </c>
      <c r="C325" t="s">
        <v>24</v>
      </c>
      <c r="D325" t="s">
        <v>29</v>
      </c>
      <c r="E325">
        <v>269</v>
      </c>
      <c r="F325" s="10">
        <v>246</v>
      </c>
      <c r="G325" s="10">
        <v>66174</v>
      </c>
      <c r="H325" s="10">
        <v>9192</v>
      </c>
    </row>
    <row r="326" spans="1:8" x14ac:dyDescent="0.25">
      <c r="A326">
        <v>2023</v>
      </c>
      <c r="B326" t="s">
        <v>18</v>
      </c>
      <c r="C326" t="s">
        <v>24</v>
      </c>
      <c r="D326" t="s">
        <v>30</v>
      </c>
      <c r="E326">
        <v>267</v>
      </c>
      <c r="F326" s="10">
        <v>261</v>
      </c>
      <c r="G326" s="10">
        <v>69687</v>
      </c>
      <c r="H326" s="10">
        <v>9770</v>
      </c>
    </row>
    <row r="327" spans="1:8" x14ac:dyDescent="0.25">
      <c r="A327">
        <v>2023</v>
      </c>
      <c r="B327" t="s">
        <v>18</v>
      </c>
      <c r="C327" t="s">
        <v>25</v>
      </c>
      <c r="D327" t="s">
        <v>26</v>
      </c>
      <c r="E327">
        <v>331</v>
      </c>
      <c r="F327" s="10">
        <v>345</v>
      </c>
      <c r="G327" s="10">
        <v>114195</v>
      </c>
      <c r="H327" s="10">
        <v>24674</v>
      </c>
    </row>
    <row r="328" spans="1:8" x14ac:dyDescent="0.25">
      <c r="A328">
        <v>2023</v>
      </c>
      <c r="B328" t="s">
        <v>18</v>
      </c>
      <c r="C328" t="s">
        <v>25</v>
      </c>
      <c r="D328" t="s">
        <v>27</v>
      </c>
      <c r="E328">
        <v>297</v>
      </c>
      <c r="F328" s="10">
        <v>390</v>
      </c>
      <c r="G328" s="10">
        <v>115830</v>
      </c>
      <c r="H328" s="10">
        <v>15396</v>
      </c>
    </row>
    <row r="329" spans="1:8" x14ac:dyDescent="0.25">
      <c r="A329">
        <v>2023</v>
      </c>
      <c r="B329" t="s">
        <v>18</v>
      </c>
      <c r="C329" t="s">
        <v>25</v>
      </c>
      <c r="D329" t="s">
        <v>28</v>
      </c>
      <c r="E329">
        <v>350</v>
      </c>
      <c r="F329" s="10">
        <v>324</v>
      </c>
      <c r="G329" s="10">
        <v>113400</v>
      </c>
      <c r="H329" s="10">
        <v>20963</v>
      </c>
    </row>
    <row r="330" spans="1:8" x14ac:dyDescent="0.25">
      <c r="A330">
        <v>2023</v>
      </c>
      <c r="B330" t="s">
        <v>18</v>
      </c>
      <c r="C330" t="s">
        <v>25</v>
      </c>
      <c r="D330" t="s">
        <v>29</v>
      </c>
      <c r="E330">
        <v>134</v>
      </c>
      <c r="F330" s="10">
        <v>393</v>
      </c>
      <c r="G330" s="10">
        <v>52662</v>
      </c>
      <c r="H330" s="10">
        <v>11584</v>
      </c>
    </row>
    <row r="331" spans="1:8" x14ac:dyDescent="0.25">
      <c r="A331">
        <v>2023</v>
      </c>
      <c r="B331" t="s">
        <v>18</v>
      </c>
      <c r="C331" t="s">
        <v>25</v>
      </c>
      <c r="D331" t="s">
        <v>30</v>
      </c>
      <c r="E331">
        <v>280</v>
      </c>
      <c r="F331" s="10">
        <v>357</v>
      </c>
      <c r="G331" s="10">
        <v>99960</v>
      </c>
      <c r="H331" s="10">
        <v>17679</v>
      </c>
    </row>
    <row r="332" spans="1:8" x14ac:dyDescent="0.25">
      <c r="A332">
        <v>2023</v>
      </c>
      <c r="B332" t="s">
        <v>19</v>
      </c>
      <c r="C332" t="s">
        <v>20</v>
      </c>
      <c r="D332" t="s">
        <v>26</v>
      </c>
      <c r="E332">
        <v>88</v>
      </c>
      <c r="F332" s="10">
        <v>1242</v>
      </c>
      <c r="G332" s="10">
        <v>109296</v>
      </c>
      <c r="H332" s="10">
        <v>21315</v>
      </c>
    </row>
    <row r="333" spans="1:8" x14ac:dyDescent="0.25">
      <c r="A333">
        <v>2023</v>
      </c>
      <c r="B333" t="s">
        <v>19</v>
      </c>
      <c r="C333" t="s">
        <v>20</v>
      </c>
      <c r="D333" t="s">
        <v>27</v>
      </c>
      <c r="E333">
        <v>280</v>
      </c>
      <c r="F333" s="10">
        <v>1121</v>
      </c>
      <c r="G333" s="10">
        <v>313880</v>
      </c>
      <c r="H333" s="10">
        <v>70698</v>
      </c>
    </row>
    <row r="334" spans="1:8" x14ac:dyDescent="0.25">
      <c r="A334">
        <v>2023</v>
      </c>
      <c r="B334" t="s">
        <v>19</v>
      </c>
      <c r="C334" t="s">
        <v>20</v>
      </c>
      <c r="D334" t="s">
        <v>28</v>
      </c>
      <c r="E334">
        <v>83</v>
      </c>
      <c r="F334" s="10">
        <v>1119</v>
      </c>
      <c r="G334" s="10">
        <v>92877</v>
      </c>
      <c r="H334" s="10">
        <v>21834</v>
      </c>
    </row>
    <row r="335" spans="1:8" x14ac:dyDescent="0.25">
      <c r="A335">
        <v>2023</v>
      </c>
      <c r="B335" t="s">
        <v>19</v>
      </c>
      <c r="C335" t="s">
        <v>20</v>
      </c>
      <c r="D335" t="s">
        <v>29</v>
      </c>
      <c r="E335">
        <v>177</v>
      </c>
      <c r="F335" s="10">
        <v>1161</v>
      </c>
      <c r="G335" s="10">
        <v>205497</v>
      </c>
      <c r="H335" s="10">
        <v>21116</v>
      </c>
    </row>
    <row r="336" spans="1:8" x14ac:dyDescent="0.25">
      <c r="A336">
        <v>2023</v>
      </c>
      <c r="B336" t="s">
        <v>19</v>
      </c>
      <c r="C336" t="s">
        <v>20</v>
      </c>
      <c r="D336" t="s">
        <v>30</v>
      </c>
      <c r="E336">
        <v>225</v>
      </c>
      <c r="F336" s="10">
        <v>1238</v>
      </c>
      <c r="G336" s="10">
        <v>278550</v>
      </c>
      <c r="H336" s="10">
        <v>61910</v>
      </c>
    </row>
    <row r="337" spans="1:8" x14ac:dyDescent="0.25">
      <c r="A337">
        <v>2023</v>
      </c>
      <c r="B337" t="s">
        <v>19</v>
      </c>
      <c r="C337" t="s">
        <v>21</v>
      </c>
      <c r="D337" t="s">
        <v>26</v>
      </c>
      <c r="E337">
        <v>120</v>
      </c>
      <c r="F337" s="10">
        <v>774</v>
      </c>
      <c r="G337" s="10">
        <v>92880</v>
      </c>
      <c r="H337" s="10">
        <v>17008</v>
      </c>
    </row>
    <row r="338" spans="1:8" x14ac:dyDescent="0.25">
      <c r="A338">
        <v>2023</v>
      </c>
      <c r="B338" t="s">
        <v>19</v>
      </c>
      <c r="C338" t="s">
        <v>21</v>
      </c>
      <c r="D338" t="s">
        <v>27</v>
      </c>
      <c r="E338">
        <v>232</v>
      </c>
      <c r="F338" s="10">
        <v>819</v>
      </c>
      <c r="G338" s="10">
        <v>190008</v>
      </c>
      <c r="H338" s="10">
        <v>39527</v>
      </c>
    </row>
    <row r="339" spans="1:8" x14ac:dyDescent="0.25">
      <c r="A339">
        <v>2023</v>
      </c>
      <c r="B339" t="s">
        <v>19</v>
      </c>
      <c r="C339" t="s">
        <v>21</v>
      </c>
      <c r="D339" t="s">
        <v>28</v>
      </c>
      <c r="E339">
        <v>196</v>
      </c>
      <c r="F339" s="10">
        <v>722</v>
      </c>
      <c r="G339" s="10">
        <v>141512</v>
      </c>
      <c r="H339" s="10">
        <v>17056</v>
      </c>
    </row>
    <row r="340" spans="1:8" x14ac:dyDescent="0.25">
      <c r="A340">
        <v>2023</v>
      </c>
      <c r="B340" t="s">
        <v>19</v>
      </c>
      <c r="C340" t="s">
        <v>21</v>
      </c>
      <c r="D340" t="s">
        <v>29</v>
      </c>
      <c r="E340">
        <v>392</v>
      </c>
      <c r="F340" s="10">
        <v>773</v>
      </c>
      <c r="G340" s="10">
        <v>303016</v>
      </c>
      <c r="H340" s="10">
        <v>63581</v>
      </c>
    </row>
    <row r="341" spans="1:8" x14ac:dyDescent="0.25">
      <c r="A341">
        <v>2023</v>
      </c>
      <c r="B341" t="s">
        <v>19</v>
      </c>
      <c r="C341" t="s">
        <v>21</v>
      </c>
      <c r="D341" t="s">
        <v>30</v>
      </c>
      <c r="E341">
        <v>177</v>
      </c>
      <c r="F341" s="10">
        <v>840</v>
      </c>
      <c r="G341" s="10">
        <v>148680</v>
      </c>
      <c r="H341" s="10">
        <v>29699</v>
      </c>
    </row>
    <row r="342" spans="1:8" x14ac:dyDescent="0.25">
      <c r="A342">
        <v>2023</v>
      </c>
      <c r="B342" t="s">
        <v>19</v>
      </c>
      <c r="C342" t="s">
        <v>22</v>
      </c>
      <c r="D342" t="s">
        <v>26</v>
      </c>
      <c r="E342">
        <v>252</v>
      </c>
      <c r="F342" s="10">
        <v>133</v>
      </c>
      <c r="G342" s="10">
        <v>33516</v>
      </c>
      <c r="H342" s="10">
        <v>5384</v>
      </c>
    </row>
    <row r="343" spans="1:8" x14ac:dyDescent="0.25">
      <c r="A343">
        <v>2023</v>
      </c>
      <c r="B343" t="s">
        <v>19</v>
      </c>
      <c r="C343" t="s">
        <v>22</v>
      </c>
      <c r="D343" t="s">
        <v>27</v>
      </c>
      <c r="E343">
        <v>269</v>
      </c>
      <c r="F343" s="10">
        <v>123</v>
      </c>
      <c r="G343" s="10">
        <v>33087</v>
      </c>
      <c r="H343" s="10">
        <v>3541</v>
      </c>
    </row>
    <row r="344" spans="1:8" x14ac:dyDescent="0.25">
      <c r="A344">
        <v>2023</v>
      </c>
      <c r="B344" t="s">
        <v>19</v>
      </c>
      <c r="C344" t="s">
        <v>22</v>
      </c>
      <c r="D344" t="s">
        <v>28</v>
      </c>
      <c r="E344">
        <v>389</v>
      </c>
      <c r="F344" s="10">
        <v>130</v>
      </c>
      <c r="G344" s="10">
        <v>50570</v>
      </c>
      <c r="H344" s="10">
        <v>5685</v>
      </c>
    </row>
    <row r="345" spans="1:8" x14ac:dyDescent="0.25">
      <c r="A345">
        <v>2023</v>
      </c>
      <c r="B345" t="s">
        <v>19</v>
      </c>
      <c r="C345" t="s">
        <v>22</v>
      </c>
      <c r="D345" t="s">
        <v>29</v>
      </c>
      <c r="E345">
        <v>371</v>
      </c>
      <c r="F345" s="10">
        <v>131</v>
      </c>
      <c r="G345" s="10">
        <v>48601</v>
      </c>
      <c r="H345" s="10">
        <v>5357</v>
      </c>
    </row>
    <row r="346" spans="1:8" x14ac:dyDescent="0.25">
      <c r="A346">
        <v>2023</v>
      </c>
      <c r="B346" t="s">
        <v>19</v>
      </c>
      <c r="C346" t="s">
        <v>22</v>
      </c>
      <c r="D346" t="s">
        <v>30</v>
      </c>
      <c r="E346">
        <v>346</v>
      </c>
      <c r="F346" s="10">
        <v>116</v>
      </c>
      <c r="G346" s="10">
        <v>40136</v>
      </c>
      <c r="H346" s="10">
        <v>6154</v>
      </c>
    </row>
    <row r="347" spans="1:8" x14ac:dyDescent="0.25">
      <c r="A347">
        <v>2023</v>
      </c>
      <c r="B347" t="s">
        <v>19</v>
      </c>
      <c r="C347" t="s">
        <v>23</v>
      </c>
      <c r="D347" t="s">
        <v>26</v>
      </c>
      <c r="E347">
        <v>192</v>
      </c>
      <c r="F347" s="10">
        <v>648</v>
      </c>
      <c r="G347" s="10">
        <v>124416</v>
      </c>
      <c r="H347" s="10">
        <v>23833</v>
      </c>
    </row>
    <row r="348" spans="1:8" x14ac:dyDescent="0.25">
      <c r="A348">
        <v>2023</v>
      </c>
      <c r="B348" t="s">
        <v>19</v>
      </c>
      <c r="C348" t="s">
        <v>23</v>
      </c>
      <c r="D348" t="s">
        <v>27</v>
      </c>
      <c r="E348">
        <v>389</v>
      </c>
      <c r="F348" s="10">
        <v>611</v>
      </c>
      <c r="G348" s="10">
        <v>237679</v>
      </c>
      <c r="H348" s="10">
        <v>47429</v>
      </c>
    </row>
    <row r="349" spans="1:8" x14ac:dyDescent="0.25">
      <c r="A349">
        <v>2023</v>
      </c>
      <c r="B349" t="s">
        <v>19</v>
      </c>
      <c r="C349" t="s">
        <v>23</v>
      </c>
      <c r="D349" t="s">
        <v>28</v>
      </c>
      <c r="E349">
        <v>325</v>
      </c>
      <c r="F349" s="10">
        <v>560</v>
      </c>
      <c r="G349" s="10">
        <v>182000</v>
      </c>
      <c r="H349" s="10">
        <v>31406</v>
      </c>
    </row>
    <row r="350" spans="1:8" x14ac:dyDescent="0.25">
      <c r="A350">
        <v>2023</v>
      </c>
      <c r="B350" t="s">
        <v>19</v>
      </c>
      <c r="C350" t="s">
        <v>23</v>
      </c>
      <c r="D350" t="s">
        <v>29</v>
      </c>
      <c r="E350">
        <v>329</v>
      </c>
      <c r="F350" s="10">
        <v>544</v>
      </c>
      <c r="G350" s="10">
        <v>178976</v>
      </c>
      <c r="H350" s="10">
        <v>24938</v>
      </c>
    </row>
    <row r="351" spans="1:8" x14ac:dyDescent="0.25">
      <c r="A351">
        <v>2023</v>
      </c>
      <c r="B351" t="s">
        <v>19</v>
      </c>
      <c r="C351" t="s">
        <v>23</v>
      </c>
      <c r="D351" t="s">
        <v>30</v>
      </c>
      <c r="E351">
        <v>306</v>
      </c>
      <c r="F351" s="10">
        <v>666</v>
      </c>
      <c r="G351" s="10">
        <v>203796</v>
      </c>
      <c r="H351" s="10">
        <v>46253</v>
      </c>
    </row>
    <row r="352" spans="1:8" x14ac:dyDescent="0.25">
      <c r="A352">
        <v>2023</v>
      </c>
      <c r="B352" t="s">
        <v>19</v>
      </c>
      <c r="C352" t="s">
        <v>24</v>
      </c>
      <c r="D352" t="s">
        <v>26</v>
      </c>
      <c r="E352">
        <v>280</v>
      </c>
      <c r="F352" s="10">
        <v>273</v>
      </c>
      <c r="G352" s="10">
        <v>76440</v>
      </c>
      <c r="H352" s="10">
        <v>8866</v>
      </c>
    </row>
    <row r="353" spans="1:8" x14ac:dyDescent="0.25">
      <c r="A353">
        <v>2023</v>
      </c>
      <c r="B353" t="s">
        <v>19</v>
      </c>
      <c r="C353" t="s">
        <v>24</v>
      </c>
      <c r="D353" t="s">
        <v>27</v>
      </c>
      <c r="E353">
        <v>280</v>
      </c>
      <c r="F353" s="10">
        <v>246</v>
      </c>
      <c r="G353" s="10">
        <v>68880</v>
      </c>
      <c r="H353" s="10">
        <v>11152</v>
      </c>
    </row>
    <row r="354" spans="1:8" x14ac:dyDescent="0.25">
      <c r="A354">
        <v>2023</v>
      </c>
      <c r="B354" t="s">
        <v>19</v>
      </c>
      <c r="C354" t="s">
        <v>24</v>
      </c>
      <c r="D354" t="s">
        <v>28</v>
      </c>
      <c r="E354">
        <v>140</v>
      </c>
      <c r="F354" s="10">
        <v>268</v>
      </c>
      <c r="G354" s="10">
        <v>37520</v>
      </c>
      <c r="H354" s="10">
        <v>6199</v>
      </c>
    </row>
    <row r="355" spans="1:8" x14ac:dyDescent="0.25">
      <c r="A355">
        <v>2023</v>
      </c>
      <c r="B355" t="s">
        <v>19</v>
      </c>
      <c r="C355" t="s">
        <v>24</v>
      </c>
      <c r="D355" t="s">
        <v>29</v>
      </c>
      <c r="E355">
        <v>118</v>
      </c>
      <c r="F355" s="10">
        <v>229</v>
      </c>
      <c r="G355" s="10">
        <v>27022</v>
      </c>
      <c r="H355" s="10">
        <v>3017</v>
      </c>
    </row>
    <row r="356" spans="1:8" x14ac:dyDescent="0.25">
      <c r="A356">
        <v>2023</v>
      </c>
      <c r="B356" t="s">
        <v>19</v>
      </c>
      <c r="C356" t="s">
        <v>24</v>
      </c>
      <c r="D356" t="s">
        <v>30</v>
      </c>
      <c r="E356">
        <v>187</v>
      </c>
      <c r="F356" s="10">
        <v>268</v>
      </c>
      <c r="G356" s="10">
        <v>50116</v>
      </c>
      <c r="H356" s="10">
        <v>7057</v>
      </c>
    </row>
    <row r="357" spans="1:8" x14ac:dyDescent="0.25">
      <c r="A357">
        <v>2023</v>
      </c>
      <c r="B357" t="s">
        <v>19</v>
      </c>
      <c r="C357" t="s">
        <v>25</v>
      </c>
      <c r="D357" t="s">
        <v>26</v>
      </c>
      <c r="E357">
        <v>91</v>
      </c>
      <c r="F357" s="10">
        <v>346</v>
      </c>
      <c r="G357" s="10">
        <v>31486</v>
      </c>
      <c r="H357" s="10">
        <v>3581</v>
      </c>
    </row>
    <row r="358" spans="1:8" x14ac:dyDescent="0.25">
      <c r="A358">
        <v>2023</v>
      </c>
      <c r="B358" t="s">
        <v>19</v>
      </c>
      <c r="C358" t="s">
        <v>25</v>
      </c>
      <c r="D358" t="s">
        <v>27</v>
      </c>
      <c r="E358">
        <v>384</v>
      </c>
      <c r="F358" s="10">
        <v>326</v>
      </c>
      <c r="G358" s="10">
        <v>125184</v>
      </c>
      <c r="H358" s="10">
        <v>30361</v>
      </c>
    </row>
    <row r="359" spans="1:8" x14ac:dyDescent="0.25">
      <c r="A359">
        <v>2023</v>
      </c>
      <c r="B359" t="s">
        <v>19</v>
      </c>
      <c r="C359" t="s">
        <v>25</v>
      </c>
      <c r="D359" t="s">
        <v>28</v>
      </c>
      <c r="E359">
        <v>390</v>
      </c>
      <c r="F359" s="10">
        <v>360</v>
      </c>
      <c r="G359" s="10">
        <v>140400</v>
      </c>
      <c r="H359" s="10">
        <v>15866</v>
      </c>
    </row>
    <row r="360" spans="1:8" x14ac:dyDescent="0.25">
      <c r="A360">
        <v>2023</v>
      </c>
      <c r="B360" t="s">
        <v>19</v>
      </c>
      <c r="C360" t="s">
        <v>25</v>
      </c>
      <c r="D360" t="s">
        <v>29</v>
      </c>
      <c r="E360">
        <v>159</v>
      </c>
      <c r="F360" s="10">
        <v>391</v>
      </c>
      <c r="G360" s="10">
        <v>62169</v>
      </c>
      <c r="H360" s="10">
        <v>13045</v>
      </c>
    </row>
    <row r="361" spans="1:8" x14ac:dyDescent="0.25">
      <c r="A361">
        <v>2023</v>
      </c>
      <c r="B361" t="s">
        <v>19</v>
      </c>
      <c r="C361" t="s">
        <v>25</v>
      </c>
      <c r="D361" t="s">
        <v>30</v>
      </c>
      <c r="E361">
        <v>228</v>
      </c>
      <c r="F361" s="10">
        <v>381</v>
      </c>
      <c r="G361" s="10">
        <v>86868</v>
      </c>
      <c r="H361" s="10">
        <v>18122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1"/>
  <sheetViews>
    <sheetView workbookViewId="0">
      <selection sqref="A1:A1048576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>
        <v>2024</v>
      </c>
      <c r="B2" t="s">
        <v>8</v>
      </c>
      <c r="C2" t="s">
        <v>20</v>
      </c>
      <c r="D2" t="s">
        <v>26</v>
      </c>
      <c r="E2">
        <v>323</v>
      </c>
      <c r="F2">
        <v>1154</v>
      </c>
      <c r="G2">
        <v>372742</v>
      </c>
      <c r="H2">
        <v>64638</v>
      </c>
    </row>
    <row r="3" spans="1:8" x14ac:dyDescent="0.25">
      <c r="A3">
        <v>2024</v>
      </c>
      <c r="B3" t="s">
        <v>8</v>
      </c>
      <c r="C3" t="s">
        <v>20</v>
      </c>
      <c r="D3" t="s">
        <v>27</v>
      </c>
      <c r="E3">
        <v>257</v>
      </c>
      <c r="F3">
        <v>1287</v>
      </c>
      <c r="G3">
        <v>330759</v>
      </c>
      <c r="H3">
        <v>35635</v>
      </c>
    </row>
    <row r="4" spans="1:8" x14ac:dyDescent="0.25">
      <c r="A4">
        <v>2024</v>
      </c>
      <c r="B4" t="s">
        <v>8</v>
      </c>
      <c r="C4" t="s">
        <v>20</v>
      </c>
      <c r="D4" t="s">
        <v>28</v>
      </c>
      <c r="E4">
        <v>121</v>
      </c>
      <c r="F4">
        <v>1091</v>
      </c>
      <c r="G4">
        <v>132011</v>
      </c>
      <c r="H4">
        <v>27172</v>
      </c>
    </row>
    <row r="5" spans="1:8" x14ac:dyDescent="0.25">
      <c r="A5">
        <v>2024</v>
      </c>
      <c r="B5" t="s">
        <v>8</v>
      </c>
      <c r="C5" t="s">
        <v>20</v>
      </c>
      <c r="D5" t="s">
        <v>29</v>
      </c>
      <c r="E5">
        <v>322</v>
      </c>
      <c r="F5">
        <v>1379</v>
      </c>
      <c r="G5">
        <v>444038</v>
      </c>
      <c r="H5">
        <v>81423</v>
      </c>
    </row>
    <row r="6" spans="1:8" x14ac:dyDescent="0.25">
      <c r="A6">
        <v>2024</v>
      </c>
      <c r="B6" t="s">
        <v>8</v>
      </c>
      <c r="C6" t="s">
        <v>20</v>
      </c>
      <c r="D6" t="s">
        <v>30</v>
      </c>
      <c r="E6">
        <v>191</v>
      </c>
      <c r="F6">
        <v>1354</v>
      </c>
      <c r="G6">
        <v>258614</v>
      </c>
      <c r="H6">
        <v>27178</v>
      </c>
    </row>
    <row r="7" spans="1:8" x14ac:dyDescent="0.25">
      <c r="A7">
        <v>2024</v>
      </c>
      <c r="B7" t="s">
        <v>8</v>
      </c>
      <c r="C7" t="s">
        <v>21</v>
      </c>
      <c r="D7" t="s">
        <v>26</v>
      </c>
      <c r="E7">
        <v>227</v>
      </c>
      <c r="F7">
        <v>866</v>
      </c>
      <c r="G7">
        <v>196582</v>
      </c>
      <c r="H7">
        <v>25337</v>
      </c>
    </row>
    <row r="8" spans="1:8" x14ac:dyDescent="0.25">
      <c r="A8">
        <v>2024</v>
      </c>
      <c r="B8" t="s">
        <v>8</v>
      </c>
      <c r="C8" t="s">
        <v>21</v>
      </c>
      <c r="D8" t="s">
        <v>27</v>
      </c>
      <c r="E8">
        <v>457</v>
      </c>
      <c r="F8">
        <v>908</v>
      </c>
      <c r="G8">
        <v>414956</v>
      </c>
      <c r="H8">
        <v>71012</v>
      </c>
    </row>
    <row r="9" spans="1:8" x14ac:dyDescent="0.25">
      <c r="A9">
        <v>2024</v>
      </c>
      <c r="B9" t="s">
        <v>8</v>
      </c>
      <c r="C9" t="s">
        <v>21</v>
      </c>
      <c r="D9" t="s">
        <v>28</v>
      </c>
      <c r="E9">
        <v>211</v>
      </c>
      <c r="F9">
        <v>727</v>
      </c>
      <c r="G9">
        <v>153397</v>
      </c>
      <c r="H9">
        <v>29059</v>
      </c>
    </row>
    <row r="10" spans="1:8" x14ac:dyDescent="0.25">
      <c r="A10">
        <v>2024</v>
      </c>
      <c r="B10" t="s">
        <v>8</v>
      </c>
      <c r="C10" t="s">
        <v>21</v>
      </c>
      <c r="D10" t="s">
        <v>29</v>
      </c>
      <c r="E10">
        <v>216</v>
      </c>
      <c r="F10">
        <v>744</v>
      </c>
      <c r="G10">
        <v>160704</v>
      </c>
      <c r="H10">
        <v>17925</v>
      </c>
    </row>
    <row r="11" spans="1:8" x14ac:dyDescent="0.25">
      <c r="A11">
        <v>2024</v>
      </c>
      <c r="B11" t="s">
        <v>8</v>
      </c>
      <c r="C11" t="s">
        <v>21</v>
      </c>
      <c r="D11" t="s">
        <v>30</v>
      </c>
      <c r="E11">
        <v>431</v>
      </c>
      <c r="F11">
        <v>826</v>
      </c>
      <c r="G11">
        <v>356006</v>
      </c>
      <c r="H11">
        <v>59152</v>
      </c>
    </row>
    <row r="12" spans="1:8" x14ac:dyDescent="0.25">
      <c r="A12">
        <v>2024</v>
      </c>
      <c r="B12" t="s">
        <v>8</v>
      </c>
      <c r="C12" t="s">
        <v>22</v>
      </c>
      <c r="D12" t="s">
        <v>26</v>
      </c>
      <c r="E12">
        <v>136</v>
      </c>
      <c r="F12">
        <v>117</v>
      </c>
      <c r="G12">
        <v>15912</v>
      </c>
      <c r="H12">
        <v>2878</v>
      </c>
    </row>
    <row r="13" spans="1:8" x14ac:dyDescent="0.25">
      <c r="A13">
        <v>2024</v>
      </c>
      <c r="B13" t="s">
        <v>8</v>
      </c>
      <c r="C13" t="s">
        <v>22</v>
      </c>
      <c r="D13" t="s">
        <v>27</v>
      </c>
      <c r="E13">
        <v>335</v>
      </c>
      <c r="F13">
        <v>123</v>
      </c>
      <c r="G13">
        <v>41205</v>
      </c>
      <c r="H13">
        <v>6758</v>
      </c>
    </row>
    <row r="14" spans="1:8" x14ac:dyDescent="0.25">
      <c r="A14">
        <v>2024</v>
      </c>
      <c r="B14" t="s">
        <v>8</v>
      </c>
      <c r="C14" t="s">
        <v>22</v>
      </c>
      <c r="D14" t="s">
        <v>28</v>
      </c>
      <c r="E14">
        <v>216</v>
      </c>
      <c r="F14">
        <v>114</v>
      </c>
      <c r="G14">
        <v>24624</v>
      </c>
      <c r="H14">
        <v>2552</v>
      </c>
    </row>
    <row r="15" spans="1:8" x14ac:dyDescent="0.25">
      <c r="A15">
        <v>2024</v>
      </c>
      <c r="B15" t="s">
        <v>8</v>
      </c>
      <c r="C15" t="s">
        <v>22</v>
      </c>
      <c r="D15" t="s">
        <v>29</v>
      </c>
      <c r="E15">
        <v>288</v>
      </c>
      <c r="F15">
        <v>137</v>
      </c>
      <c r="G15">
        <v>39456</v>
      </c>
      <c r="H15">
        <v>3947</v>
      </c>
    </row>
    <row r="16" spans="1:8" x14ac:dyDescent="0.25">
      <c r="A16">
        <v>2024</v>
      </c>
      <c r="B16" t="s">
        <v>8</v>
      </c>
      <c r="C16" t="s">
        <v>22</v>
      </c>
      <c r="D16" t="s">
        <v>30</v>
      </c>
      <c r="E16">
        <v>403</v>
      </c>
      <c r="F16">
        <v>123</v>
      </c>
      <c r="G16">
        <v>49569</v>
      </c>
      <c r="H16">
        <v>11939</v>
      </c>
    </row>
    <row r="17" spans="1:8" x14ac:dyDescent="0.25">
      <c r="A17">
        <v>2024</v>
      </c>
      <c r="B17" t="s">
        <v>8</v>
      </c>
      <c r="C17" t="s">
        <v>23</v>
      </c>
      <c r="D17" t="s">
        <v>26</v>
      </c>
      <c r="E17">
        <v>355</v>
      </c>
      <c r="F17">
        <v>550</v>
      </c>
      <c r="G17">
        <v>195250</v>
      </c>
      <c r="H17">
        <v>19802</v>
      </c>
    </row>
    <row r="18" spans="1:8" x14ac:dyDescent="0.25">
      <c r="A18">
        <v>2024</v>
      </c>
      <c r="B18" t="s">
        <v>8</v>
      </c>
      <c r="C18" t="s">
        <v>23</v>
      </c>
      <c r="D18" t="s">
        <v>27</v>
      </c>
      <c r="E18">
        <v>125</v>
      </c>
      <c r="F18">
        <v>655</v>
      </c>
      <c r="G18">
        <v>81875</v>
      </c>
      <c r="H18">
        <v>13123</v>
      </c>
    </row>
    <row r="19" spans="1:8" x14ac:dyDescent="0.25">
      <c r="A19">
        <v>2024</v>
      </c>
      <c r="B19" t="s">
        <v>8</v>
      </c>
      <c r="C19" t="s">
        <v>23</v>
      </c>
      <c r="D19" t="s">
        <v>28</v>
      </c>
      <c r="E19">
        <v>375</v>
      </c>
      <c r="F19">
        <v>611</v>
      </c>
      <c r="G19">
        <v>229125</v>
      </c>
      <c r="H19">
        <v>42872</v>
      </c>
    </row>
    <row r="20" spans="1:8" x14ac:dyDescent="0.25">
      <c r="A20">
        <v>2024</v>
      </c>
      <c r="B20" t="s">
        <v>8</v>
      </c>
      <c r="C20" t="s">
        <v>23</v>
      </c>
      <c r="D20" t="s">
        <v>29</v>
      </c>
      <c r="E20">
        <v>365</v>
      </c>
      <c r="F20">
        <v>687</v>
      </c>
      <c r="G20">
        <v>250755</v>
      </c>
      <c r="H20">
        <v>53972</v>
      </c>
    </row>
    <row r="21" spans="1:8" x14ac:dyDescent="0.25">
      <c r="A21">
        <v>2024</v>
      </c>
      <c r="B21" t="s">
        <v>8</v>
      </c>
      <c r="C21" t="s">
        <v>23</v>
      </c>
      <c r="D21" t="s">
        <v>30</v>
      </c>
      <c r="E21">
        <v>167</v>
      </c>
      <c r="F21">
        <v>575</v>
      </c>
      <c r="G21">
        <v>96025</v>
      </c>
      <c r="H21">
        <v>11193</v>
      </c>
    </row>
    <row r="22" spans="1:8" x14ac:dyDescent="0.25">
      <c r="A22">
        <v>2024</v>
      </c>
      <c r="B22" t="s">
        <v>8</v>
      </c>
      <c r="C22" t="s">
        <v>24</v>
      </c>
      <c r="D22" t="s">
        <v>26</v>
      </c>
      <c r="E22">
        <v>256</v>
      </c>
      <c r="F22">
        <v>243</v>
      </c>
      <c r="G22">
        <v>62208</v>
      </c>
      <c r="H22">
        <v>14178</v>
      </c>
    </row>
    <row r="23" spans="1:8" x14ac:dyDescent="0.25">
      <c r="A23">
        <v>2024</v>
      </c>
      <c r="B23" t="s">
        <v>8</v>
      </c>
      <c r="C23" t="s">
        <v>24</v>
      </c>
      <c r="D23" t="s">
        <v>27</v>
      </c>
      <c r="E23">
        <v>261</v>
      </c>
      <c r="F23">
        <v>239</v>
      </c>
      <c r="G23">
        <v>62379</v>
      </c>
      <c r="H23">
        <v>6631</v>
      </c>
    </row>
    <row r="24" spans="1:8" x14ac:dyDescent="0.25">
      <c r="A24">
        <v>2024</v>
      </c>
      <c r="B24" t="s">
        <v>8</v>
      </c>
      <c r="C24" t="s">
        <v>24</v>
      </c>
      <c r="D24" t="s">
        <v>28</v>
      </c>
      <c r="E24">
        <v>315</v>
      </c>
      <c r="F24">
        <v>281</v>
      </c>
      <c r="G24">
        <v>88515</v>
      </c>
      <c r="H24">
        <v>9450</v>
      </c>
    </row>
    <row r="25" spans="1:8" x14ac:dyDescent="0.25">
      <c r="A25">
        <v>2024</v>
      </c>
      <c r="B25" t="s">
        <v>8</v>
      </c>
      <c r="C25" t="s">
        <v>24</v>
      </c>
      <c r="D25" t="s">
        <v>29</v>
      </c>
      <c r="E25">
        <v>445</v>
      </c>
      <c r="F25">
        <v>249</v>
      </c>
      <c r="G25">
        <v>110805</v>
      </c>
      <c r="H25">
        <v>13148</v>
      </c>
    </row>
    <row r="26" spans="1:8" x14ac:dyDescent="0.25">
      <c r="A26">
        <v>2024</v>
      </c>
      <c r="B26" t="s">
        <v>8</v>
      </c>
      <c r="C26" t="s">
        <v>24</v>
      </c>
      <c r="D26" t="s">
        <v>30</v>
      </c>
      <c r="E26">
        <v>308</v>
      </c>
      <c r="F26">
        <v>284</v>
      </c>
      <c r="G26">
        <v>87472</v>
      </c>
      <c r="H26">
        <v>19064</v>
      </c>
    </row>
    <row r="27" spans="1:8" x14ac:dyDescent="0.25">
      <c r="A27">
        <v>2024</v>
      </c>
      <c r="B27" t="s">
        <v>8</v>
      </c>
      <c r="C27" t="s">
        <v>25</v>
      </c>
      <c r="D27" t="s">
        <v>26</v>
      </c>
      <c r="E27">
        <v>321</v>
      </c>
      <c r="F27">
        <v>400</v>
      </c>
      <c r="G27">
        <v>128400</v>
      </c>
      <c r="H27">
        <v>29869</v>
      </c>
    </row>
    <row r="28" spans="1:8" x14ac:dyDescent="0.25">
      <c r="A28">
        <v>2024</v>
      </c>
      <c r="B28" t="s">
        <v>8</v>
      </c>
      <c r="C28" t="s">
        <v>25</v>
      </c>
      <c r="D28" t="s">
        <v>27</v>
      </c>
      <c r="E28">
        <v>104</v>
      </c>
      <c r="F28">
        <v>394</v>
      </c>
      <c r="G28">
        <v>40976</v>
      </c>
      <c r="H28">
        <v>10177</v>
      </c>
    </row>
    <row r="29" spans="1:8" x14ac:dyDescent="0.25">
      <c r="A29">
        <v>2024</v>
      </c>
      <c r="B29" t="s">
        <v>8</v>
      </c>
      <c r="C29" t="s">
        <v>25</v>
      </c>
      <c r="D29" t="s">
        <v>28</v>
      </c>
      <c r="E29">
        <v>322</v>
      </c>
      <c r="F29">
        <v>401</v>
      </c>
      <c r="G29">
        <v>129122</v>
      </c>
      <c r="H29">
        <v>17399</v>
      </c>
    </row>
    <row r="30" spans="1:8" x14ac:dyDescent="0.25">
      <c r="A30">
        <v>2024</v>
      </c>
      <c r="B30" t="s">
        <v>8</v>
      </c>
      <c r="C30" t="s">
        <v>25</v>
      </c>
      <c r="D30" t="s">
        <v>29</v>
      </c>
      <c r="E30">
        <v>263</v>
      </c>
      <c r="F30">
        <v>388</v>
      </c>
      <c r="G30">
        <v>102044</v>
      </c>
      <c r="H30">
        <v>13733</v>
      </c>
    </row>
    <row r="31" spans="1:8" x14ac:dyDescent="0.25">
      <c r="A31">
        <v>2024</v>
      </c>
      <c r="B31" t="s">
        <v>8</v>
      </c>
      <c r="C31" t="s">
        <v>25</v>
      </c>
      <c r="D31" t="s">
        <v>30</v>
      </c>
      <c r="E31">
        <v>373</v>
      </c>
      <c r="F31">
        <v>359</v>
      </c>
      <c r="G31">
        <v>133907</v>
      </c>
      <c r="H31">
        <v>18023</v>
      </c>
    </row>
    <row r="32" spans="1:8" x14ac:dyDescent="0.25">
      <c r="A32">
        <v>2024</v>
      </c>
      <c r="B32" t="s">
        <v>9</v>
      </c>
      <c r="C32" t="s">
        <v>20</v>
      </c>
      <c r="D32" t="s">
        <v>26</v>
      </c>
      <c r="E32">
        <v>360</v>
      </c>
      <c r="F32">
        <v>1195</v>
      </c>
      <c r="G32">
        <v>430200</v>
      </c>
      <c r="H32">
        <v>45390</v>
      </c>
    </row>
    <row r="33" spans="1:8" x14ac:dyDescent="0.25">
      <c r="A33">
        <v>2024</v>
      </c>
      <c r="B33" t="s">
        <v>9</v>
      </c>
      <c r="C33" t="s">
        <v>20</v>
      </c>
      <c r="D33" t="s">
        <v>27</v>
      </c>
      <c r="E33">
        <v>399</v>
      </c>
      <c r="F33">
        <v>1327</v>
      </c>
      <c r="G33">
        <v>529473</v>
      </c>
      <c r="H33">
        <v>116545</v>
      </c>
    </row>
    <row r="34" spans="1:8" x14ac:dyDescent="0.25">
      <c r="A34">
        <v>2024</v>
      </c>
      <c r="B34" t="s">
        <v>9</v>
      </c>
      <c r="C34" t="s">
        <v>20</v>
      </c>
      <c r="D34" t="s">
        <v>28</v>
      </c>
      <c r="E34">
        <v>157</v>
      </c>
      <c r="F34">
        <v>1370</v>
      </c>
      <c r="G34">
        <v>215090</v>
      </c>
      <c r="H34">
        <v>50023</v>
      </c>
    </row>
    <row r="35" spans="1:8" x14ac:dyDescent="0.25">
      <c r="A35">
        <v>2024</v>
      </c>
      <c r="B35" t="s">
        <v>9</v>
      </c>
      <c r="C35" t="s">
        <v>20</v>
      </c>
      <c r="D35" t="s">
        <v>29</v>
      </c>
      <c r="E35">
        <v>210</v>
      </c>
      <c r="F35">
        <v>1259</v>
      </c>
      <c r="G35">
        <v>264390</v>
      </c>
      <c r="H35">
        <v>47260</v>
      </c>
    </row>
    <row r="36" spans="1:8" x14ac:dyDescent="0.25">
      <c r="A36">
        <v>2024</v>
      </c>
      <c r="B36" t="s">
        <v>9</v>
      </c>
      <c r="C36" t="s">
        <v>20</v>
      </c>
      <c r="D36" t="s">
        <v>30</v>
      </c>
      <c r="E36">
        <v>303</v>
      </c>
      <c r="F36">
        <v>1227</v>
      </c>
      <c r="G36">
        <v>371781</v>
      </c>
      <c r="H36">
        <v>92740</v>
      </c>
    </row>
    <row r="37" spans="1:8" x14ac:dyDescent="0.25">
      <c r="A37">
        <v>2024</v>
      </c>
      <c r="B37" t="s">
        <v>9</v>
      </c>
      <c r="C37" t="s">
        <v>21</v>
      </c>
      <c r="D37" t="s">
        <v>26</v>
      </c>
      <c r="E37">
        <v>96</v>
      </c>
      <c r="F37">
        <v>883</v>
      </c>
      <c r="G37">
        <v>84768</v>
      </c>
      <c r="H37">
        <v>11330</v>
      </c>
    </row>
    <row r="38" spans="1:8" x14ac:dyDescent="0.25">
      <c r="A38">
        <v>2024</v>
      </c>
      <c r="B38" t="s">
        <v>9</v>
      </c>
      <c r="C38" t="s">
        <v>21</v>
      </c>
      <c r="D38" t="s">
        <v>27</v>
      </c>
      <c r="E38">
        <v>234</v>
      </c>
      <c r="F38">
        <v>869</v>
      </c>
      <c r="G38">
        <v>203346</v>
      </c>
      <c r="H38">
        <v>21398</v>
      </c>
    </row>
    <row r="39" spans="1:8" x14ac:dyDescent="0.25">
      <c r="A39">
        <v>2024</v>
      </c>
      <c r="B39" t="s">
        <v>9</v>
      </c>
      <c r="C39" t="s">
        <v>21</v>
      </c>
      <c r="D39" t="s">
        <v>28</v>
      </c>
      <c r="E39">
        <v>173</v>
      </c>
      <c r="F39">
        <v>836</v>
      </c>
      <c r="G39">
        <v>144628</v>
      </c>
      <c r="H39">
        <v>16447</v>
      </c>
    </row>
    <row r="40" spans="1:8" x14ac:dyDescent="0.25">
      <c r="A40">
        <v>2024</v>
      </c>
      <c r="B40" t="s">
        <v>9</v>
      </c>
      <c r="C40" t="s">
        <v>21</v>
      </c>
      <c r="D40" t="s">
        <v>29</v>
      </c>
      <c r="E40">
        <v>217</v>
      </c>
      <c r="F40">
        <v>798</v>
      </c>
      <c r="G40">
        <v>173166</v>
      </c>
      <c r="H40">
        <v>24406</v>
      </c>
    </row>
    <row r="41" spans="1:8" x14ac:dyDescent="0.25">
      <c r="A41">
        <v>2024</v>
      </c>
      <c r="B41" t="s">
        <v>9</v>
      </c>
      <c r="C41" t="s">
        <v>21</v>
      </c>
      <c r="D41" t="s">
        <v>30</v>
      </c>
      <c r="E41">
        <v>127</v>
      </c>
      <c r="F41">
        <v>897</v>
      </c>
      <c r="G41">
        <v>113919</v>
      </c>
      <c r="H41">
        <v>27721</v>
      </c>
    </row>
    <row r="42" spans="1:8" x14ac:dyDescent="0.25">
      <c r="A42">
        <v>2024</v>
      </c>
      <c r="B42" t="s">
        <v>9</v>
      </c>
      <c r="C42" t="s">
        <v>22</v>
      </c>
      <c r="D42" t="s">
        <v>26</v>
      </c>
      <c r="E42">
        <v>294</v>
      </c>
      <c r="F42">
        <v>132</v>
      </c>
      <c r="G42">
        <v>38808</v>
      </c>
      <c r="H42">
        <v>7695</v>
      </c>
    </row>
    <row r="43" spans="1:8" x14ac:dyDescent="0.25">
      <c r="A43">
        <v>2024</v>
      </c>
      <c r="B43" t="s">
        <v>9</v>
      </c>
      <c r="C43" t="s">
        <v>22</v>
      </c>
      <c r="D43" t="s">
        <v>27</v>
      </c>
      <c r="E43">
        <v>401</v>
      </c>
      <c r="F43">
        <v>130</v>
      </c>
      <c r="G43">
        <v>52130</v>
      </c>
      <c r="H43">
        <v>7413</v>
      </c>
    </row>
    <row r="44" spans="1:8" x14ac:dyDescent="0.25">
      <c r="A44">
        <v>2024</v>
      </c>
      <c r="B44" t="s">
        <v>9</v>
      </c>
      <c r="C44" t="s">
        <v>22</v>
      </c>
      <c r="D44" t="s">
        <v>28</v>
      </c>
      <c r="E44">
        <v>239</v>
      </c>
      <c r="F44">
        <v>119</v>
      </c>
      <c r="G44">
        <v>28441</v>
      </c>
      <c r="H44">
        <v>3952</v>
      </c>
    </row>
    <row r="45" spans="1:8" x14ac:dyDescent="0.25">
      <c r="A45">
        <v>2024</v>
      </c>
      <c r="B45" t="s">
        <v>9</v>
      </c>
      <c r="C45" t="s">
        <v>22</v>
      </c>
      <c r="D45" t="s">
        <v>29</v>
      </c>
      <c r="E45">
        <v>301</v>
      </c>
      <c r="F45">
        <v>122</v>
      </c>
      <c r="G45">
        <v>36722</v>
      </c>
      <c r="H45">
        <v>4118</v>
      </c>
    </row>
    <row r="46" spans="1:8" x14ac:dyDescent="0.25">
      <c r="A46">
        <v>2024</v>
      </c>
      <c r="B46" t="s">
        <v>9</v>
      </c>
      <c r="C46" t="s">
        <v>22</v>
      </c>
      <c r="D46" t="s">
        <v>30</v>
      </c>
      <c r="E46">
        <v>466</v>
      </c>
      <c r="F46">
        <v>111</v>
      </c>
      <c r="G46">
        <v>51726</v>
      </c>
      <c r="H46">
        <v>12112</v>
      </c>
    </row>
    <row r="47" spans="1:8" x14ac:dyDescent="0.25">
      <c r="A47">
        <v>2024</v>
      </c>
      <c r="B47" t="s">
        <v>9</v>
      </c>
      <c r="C47" t="s">
        <v>23</v>
      </c>
      <c r="D47" t="s">
        <v>26</v>
      </c>
      <c r="E47">
        <v>188</v>
      </c>
      <c r="F47">
        <v>549</v>
      </c>
      <c r="G47">
        <v>103212</v>
      </c>
      <c r="H47">
        <v>23990</v>
      </c>
    </row>
    <row r="48" spans="1:8" x14ac:dyDescent="0.25">
      <c r="A48">
        <v>2024</v>
      </c>
      <c r="B48" t="s">
        <v>9</v>
      </c>
      <c r="C48" t="s">
        <v>23</v>
      </c>
      <c r="D48" t="s">
        <v>27</v>
      </c>
      <c r="E48">
        <v>468</v>
      </c>
      <c r="F48">
        <v>628</v>
      </c>
      <c r="G48">
        <v>293904</v>
      </c>
      <c r="H48">
        <v>65746</v>
      </c>
    </row>
    <row r="49" spans="1:8" x14ac:dyDescent="0.25">
      <c r="A49">
        <v>2024</v>
      </c>
      <c r="B49" t="s">
        <v>9</v>
      </c>
      <c r="C49" t="s">
        <v>23</v>
      </c>
      <c r="D49" t="s">
        <v>28</v>
      </c>
      <c r="E49">
        <v>159</v>
      </c>
      <c r="F49">
        <v>639</v>
      </c>
      <c r="G49">
        <v>101601</v>
      </c>
      <c r="H49">
        <v>18447</v>
      </c>
    </row>
    <row r="50" spans="1:8" x14ac:dyDescent="0.25">
      <c r="A50">
        <v>2024</v>
      </c>
      <c r="B50" t="s">
        <v>9</v>
      </c>
      <c r="C50" t="s">
        <v>23</v>
      </c>
      <c r="D50" t="s">
        <v>29</v>
      </c>
      <c r="E50">
        <v>373</v>
      </c>
      <c r="F50">
        <v>650</v>
      </c>
      <c r="G50">
        <v>242450</v>
      </c>
      <c r="H50">
        <v>43201</v>
      </c>
    </row>
    <row r="51" spans="1:8" x14ac:dyDescent="0.25">
      <c r="A51">
        <v>2024</v>
      </c>
      <c r="B51" t="s">
        <v>9</v>
      </c>
      <c r="C51" t="s">
        <v>23</v>
      </c>
      <c r="D51" t="s">
        <v>30</v>
      </c>
      <c r="E51">
        <v>291</v>
      </c>
      <c r="F51">
        <v>576</v>
      </c>
      <c r="G51">
        <v>167616</v>
      </c>
      <c r="H51">
        <v>20717</v>
      </c>
    </row>
    <row r="52" spans="1:8" x14ac:dyDescent="0.25">
      <c r="A52">
        <v>2024</v>
      </c>
      <c r="B52" t="s">
        <v>9</v>
      </c>
      <c r="C52" t="s">
        <v>24</v>
      </c>
      <c r="D52" t="s">
        <v>26</v>
      </c>
      <c r="E52">
        <v>452</v>
      </c>
      <c r="F52">
        <v>269</v>
      </c>
      <c r="G52">
        <v>121588</v>
      </c>
      <c r="H52">
        <v>27424</v>
      </c>
    </row>
    <row r="53" spans="1:8" x14ac:dyDescent="0.25">
      <c r="A53">
        <v>2024</v>
      </c>
      <c r="B53" t="s">
        <v>9</v>
      </c>
      <c r="C53" t="s">
        <v>24</v>
      </c>
      <c r="D53" t="s">
        <v>27</v>
      </c>
      <c r="E53">
        <v>307</v>
      </c>
      <c r="F53">
        <v>267</v>
      </c>
      <c r="G53">
        <v>81969</v>
      </c>
      <c r="H53">
        <v>15802</v>
      </c>
    </row>
    <row r="54" spans="1:8" x14ac:dyDescent="0.25">
      <c r="A54">
        <v>2024</v>
      </c>
      <c r="B54" t="s">
        <v>9</v>
      </c>
      <c r="C54" t="s">
        <v>24</v>
      </c>
      <c r="D54" t="s">
        <v>28</v>
      </c>
      <c r="E54">
        <v>315</v>
      </c>
      <c r="F54">
        <v>234</v>
      </c>
      <c r="G54">
        <v>73710</v>
      </c>
      <c r="H54">
        <v>17110</v>
      </c>
    </row>
    <row r="55" spans="1:8" x14ac:dyDescent="0.25">
      <c r="A55">
        <v>2024</v>
      </c>
      <c r="B55" t="s">
        <v>9</v>
      </c>
      <c r="C55" t="s">
        <v>24</v>
      </c>
      <c r="D55" t="s">
        <v>29</v>
      </c>
      <c r="E55">
        <v>464</v>
      </c>
      <c r="F55">
        <v>254</v>
      </c>
      <c r="G55">
        <v>117856</v>
      </c>
      <c r="H55">
        <v>27326</v>
      </c>
    </row>
    <row r="56" spans="1:8" x14ac:dyDescent="0.25">
      <c r="A56">
        <v>2024</v>
      </c>
      <c r="B56" t="s">
        <v>9</v>
      </c>
      <c r="C56" t="s">
        <v>24</v>
      </c>
      <c r="D56" t="s">
        <v>30</v>
      </c>
      <c r="E56">
        <v>282</v>
      </c>
      <c r="F56">
        <v>245</v>
      </c>
      <c r="G56">
        <v>69090</v>
      </c>
      <c r="H56">
        <v>14614</v>
      </c>
    </row>
    <row r="57" spans="1:8" x14ac:dyDescent="0.25">
      <c r="A57">
        <v>2024</v>
      </c>
      <c r="B57" t="s">
        <v>9</v>
      </c>
      <c r="C57" t="s">
        <v>25</v>
      </c>
      <c r="D57" t="s">
        <v>26</v>
      </c>
      <c r="E57">
        <v>190</v>
      </c>
      <c r="F57">
        <v>386</v>
      </c>
      <c r="G57">
        <v>73340</v>
      </c>
      <c r="H57">
        <v>16488</v>
      </c>
    </row>
    <row r="58" spans="1:8" x14ac:dyDescent="0.25">
      <c r="A58">
        <v>2024</v>
      </c>
      <c r="B58" t="s">
        <v>9</v>
      </c>
      <c r="C58" t="s">
        <v>25</v>
      </c>
      <c r="D58" t="s">
        <v>27</v>
      </c>
      <c r="E58">
        <v>107</v>
      </c>
      <c r="F58">
        <v>315</v>
      </c>
      <c r="G58">
        <v>33705</v>
      </c>
      <c r="H58">
        <v>4821</v>
      </c>
    </row>
    <row r="59" spans="1:8" x14ac:dyDescent="0.25">
      <c r="A59">
        <v>2024</v>
      </c>
      <c r="B59" t="s">
        <v>9</v>
      </c>
      <c r="C59" t="s">
        <v>25</v>
      </c>
      <c r="D59" t="s">
        <v>28</v>
      </c>
      <c r="E59">
        <v>147</v>
      </c>
      <c r="F59">
        <v>343</v>
      </c>
      <c r="G59">
        <v>50421</v>
      </c>
      <c r="H59">
        <v>9276</v>
      </c>
    </row>
    <row r="60" spans="1:8" x14ac:dyDescent="0.25">
      <c r="A60">
        <v>2024</v>
      </c>
      <c r="B60" t="s">
        <v>9</v>
      </c>
      <c r="C60" t="s">
        <v>25</v>
      </c>
      <c r="D60" t="s">
        <v>29</v>
      </c>
      <c r="E60">
        <v>356</v>
      </c>
      <c r="F60">
        <v>347</v>
      </c>
      <c r="G60">
        <v>123532</v>
      </c>
      <c r="H60">
        <v>12521</v>
      </c>
    </row>
    <row r="61" spans="1:8" x14ac:dyDescent="0.25">
      <c r="A61">
        <v>2024</v>
      </c>
      <c r="B61" t="s">
        <v>9</v>
      </c>
      <c r="C61" t="s">
        <v>25</v>
      </c>
      <c r="D61" t="s">
        <v>30</v>
      </c>
      <c r="E61">
        <v>285</v>
      </c>
      <c r="F61">
        <v>326</v>
      </c>
      <c r="G61">
        <v>92910</v>
      </c>
      <c r="H61">
        <v>13239</v>
      </c>
    </row>
    <row r="62" spans="1:8" x14ac:dyDescent="0.25">
      <c r="A62">
        <v>2024</v>
      </c>
      <c r="B62" t="s">
        <v>10</v>
      </c>
      <c r="C62" t="s">
        <v>20</v>
      </c>
      <c r="D62" t="s">
        <v>26</v>
      </c>
      <c r="E62">
        <v>181</v>
      </c>
      <c r="F62">
        <v>1209</v>
      </c>
      <c r="G62">
        <v>218829</v>
      </c>
      <c r="H62">
        <v>49459</v>
      </c>
    </row>
    <row r="63" spans="1:8" x14ac:dyDescent="0.25">
      <c r="A63">
        <v>2024</v>
      </c>
      <c r="B63" t="s">
        <v>10</v>
      </c>
      <c r="C63" t="s">
        <v>20</v>
      </c>
      <c r="D63" t="s">
        <v>27</v>
      </c>
      <c r="E63">
        <v>165</v>
      </c>
      <c r="F63">
        <v>1133</v>
      </c>
      <c r="G63">
        <v>186945</v>
      </c>
      <c r="H63">
        <v>39829</v>
      </c>
    </row>
    <row r="64" spans="1:8" x14ac:dyDescent="0.25">
      <c r="A64">
        <v>2024</v>
      </c>
      <c r="B64" t="s">
        <v>10</v>
      </c>
      <c r="C64" t="s">
        <v>20</v>
      </c>
      <c r="D64" t="s">
        <v>28</v>
      </c>
      <c r="E64">
        <v>424</v>
      </c>
      <c r="F64">
        <v>1361</v>
      </c>
      <c r="G64">
        <v>577064</v>
      </c>
      <c r="H64">
        <v>117249</v>
      </c>
    </row>
    <row r="65" spans="1:8" x14ac:dyDescent="0.25">
      <c r="A65">
        <v>2024</v>
      </c>
      <c r="B65" t="s">
        <v>10</v>
      </c>
      <c r="C65" t="s">
        <v>20</v>
      </c>
      <c r="D65" t="s">
        <v>29</v>
      </c>
      <c r="E65">
        <v>381</v>
      </c>
      <c r="F65">
        <v>1364</v>
      </c>
      <c r="G65">
        <v>519684</v>
      </c>
      <c r="H65">
        <v>64937</v>
      </c>
    </row>
    <row r="66" spans="1:8" x14ac:dyDescent="0.25">
      <c r="A66">
        <v>2024</v>
      </c>
      <c r="B66" t="s">
        <v>10</v>
      </c>
      <c r="C66" t="s">
        <v>20</v>
      </c>
      <c r="D66" t="s">
        <v>30</v>
      </c>
      <c r="E66">
        <v>108</v>
      </c>
      <c r="F66">
        <v>1100</v>
      </c>
      <c r="G66">
        <v>118800</v>
      </c>
      <c r="H66">
        <v>22254</v>
      </c>
    </row>
    <row r="67" spans="1:8" x14ac:dyDescent="0.25">
      <c r="A67">
        <v>2024</v>
      </c>
      <c r="B67" t="s">
        <v>10</v>
      </c>
      <c r="C67" t="s">
        <v>21</v>
      </c>
      <c r="D67" t="s">
        <v>26</v>
      </c>
      <c r="E67">
        <v>323</v>
      </c>
      <c r="F67">
        <v>731</v>
      </c>
      <c r="G67">
        <v>236113</v>
      </c>
      <c r="H67">
        <v>26256</v>
      </c>
    </row>
    <row r="68" spans="1:8" x14ac:dyDescent="0.25">
      <c r="A68">
        <v>2024</v>
      </c>
      <c r="B68" t="s">
        <v>10</v>
      </c>
      <c r="C68" t="s">
        <v>21</v>
      </c>
      <c r="D68" t="s">
        <v>27</v>
      </c>
      <c r="E68">
        <v>343</v>
      </c>
      <c r="F68">
        <v>894</v>
      </c>
      <c r="G68">
        <v>306642</v>
      </c>
      <c r="H68">
        <v>75441</v>
      </c>
    </row>
    <row r="69" spans="1:8" x14ac:dyDescent="0.25">
      <c r="A69">
        <v>2024</v>
      </c>
      <c r="B69" t="s">
        <v>10</v>
      </c>
      <c r="C69" t="s">
        <v>21</v>
      </c>
      <c r="D69" t="s">
        <v>28</v>
      </c>
      <c r="E69">
        <v>432</v>
      </c>
      <c r="F69">
        <v>809</v>
      </c>
      <c r="G69">
        <v>349488</v>
      </c>
      <c r="H69">
        <v>68896</v>
      </c>
    </row>
    <row r="70" spans="1:8" x14ac:dyDescent="0.25">
      <c r="A70">
        <v>2024</v>
      </c>
      <c r="B70" t="s">
        <v>10</v>
      </c>
      <c r="C70" t="s">
        <v>21</v>
      </c>
      <c r="D70" t="s">
        <v>29</v>
      </c>
      <c r="E70">
        <v>102</v>
      </c>
      <c r="F70">
        <v>733</v>
      </c>
      <c r="G70">
        <v>74766</v>
      </c>
      <c r="H70">
        <v>16689</v>
      </c>
    </row>
    <row r="71" spans="1:8" x14ac:dyDescent="0.25">
      <c r="A71">
        <v>2024</v>
      </c>
      <c r="B71" t="s">
        <v>10</v>
      </c>
      <c r="C71" t="s">
        <v>21</v>
      </c>
      <c r="D71" t="s">
        <v>30</v>
      </c>
      <c r="E71">
        <v>187</v>
      </c>
      <c r="F71">
        <v>883</v>
      </c>
      <c r="G71">
        <v>165121</v>
      </c>
      <c r="H71">
        <v>22766</v>
      </c>
    </row>
    <row r="72" spans="1:8" x14ac:dyDescent="0.25">
      <c r="A72">
        <v>2024</v>
      </c>
      <c r="B72" t="s">
        <v>10</v>
      </c>
      <c r="C72" t="s">
        <v>22</v>
      </c>
      <c r="D72" t="s">
        <v>26</v>
      </c>
      <c r="E72">
        <v>124</v>
      </c>
      <c r="F72">
        <v>112</v>
      </c>
      <c r="G72">
        <v>13888</v>
      </c>
      <c r="H72">
        <v>2364</v>
      </c>
    </row>
    <row r="73" spans="1:8" x14ac:dyDescent="0.25">
      <c r="A73">
        <v>2024</v>
      </c>
      <c r="B73" t="s">
        <v>10</v>
      </c>
      <c r="C73" t="s">
        <v>22</v>
      </c>
      <c r="D73" t="s">
        <v>27</v>
      </c>
      <c r="E73">
        <v>98</v>
      </c>
      <c r="F73">
        <v>120</v>
      </c>
      <c r="G73">
        <v>11760</v>
      </c>
      <c r="H73">
        <v>1972</v>
      </c>
    </row>
    <row r="74" spans="1:8" x14ac:dyDescent="0.25">
      <c r="A74">
        <v>2024</v>
      </c>
      <c r="B74" t="s">
        <v>10</v>
      </c>
      <c r="C74" t="s">
        <v>22</v>
      </c>
      <c r="D74" t="s">
        <v>28</v>
      </c>
      <c r="E74">
        <v>140</v>
      </c>
      <c r="F74">
        <v>123</v>
      </c>
      <c r="G74">
        <v>17220</v>
      </c>
      <c r="H74">
        <v>3855</v>
      </c>
    </row>
    <row r="75" spans="1:8" x14ac:dyDescent="0.25">
      <c r="A75">
        <v>2024</v>
      </c>
      <c r="B75" t="s">
        <v>10</v>
      </c>
      <c r="C75" t="s">
        <v>22</v>
      </c>
      <c r="D75" t="s">
        <v>29</v>
      </c>
      <c r="E75">
        <v>183</v>
      </c>
      <c r="F75">
        <v>114</v>
      </c>
      <c r="G75">
        <v>20862</v>
      </c>
      <c r="H75">
        <v>2343</v>
      </c>
    </row>
    <row r="76" spans="1:8" x14ac:dyDescent="0.25">
      <c r="A76">
        <v>2024</v>
      </c>
      <c r="B76" t="s">
        <v>10</v>
      </c>
      <c r="C76" t="s">
        <v>22</v>
      </c>
      <c r="D76" t="s">
        <v>30</v>
      </c>
      <c r="E76">
        <v>193</v>
      </c>
      <c r="F76">
        <v>127</v>
      </c>
      <c r="G76">
        <v>24511</v>
      </c>
      <c r="H76">
        <v>3455</v>
      </c>
    </row>
    <row r="77" spans="1:8" x14ac:dyDescent="0.25">
      <c r="A77">
        <v>2024</v>
      </c>
      <c r="B77" t="s">
        <v>10</v>
      </c>
      <c r="C77" t="s">
        <v>23</v>
      </c>
      <c r="D77" t="s">
        <v>26</v>
      </c>
      <c r="E77">
        <v>374</v>
      </c>
      <c r="F77">
        <v>544</v>
      </c>
      <c r="G77">
        <v>203456</v>
      </c>
      <c r="H77">
        <v>42662</v>
      </c>
    </row>
    <row r="78" spans="1:8" x14ac:dyDescent="0.25">
      <c r="A78">
        <v>2024</v>
      </c>
      <c r="B78" t="s">
        <v>10</v>
      </c>
      <c r="C78" t="s">
        <v>23</v>
      </c>
      <c r="D78" t="s">
        <v>27</v>
      </c>
      <c r="E78">
        <v>453</v>
      </c>
      <c r="F78">
        <v>602</v>
      </c>
      <c r="G78">
        <v>272706</v>
      </c>
      <c r="H78">
        <v>53390</v>
      </c>
    </row>
    <row r="79" spans="1:8" x14ac:dyDescent="0.25">
      <c r="A79">
        <v>2024</v>
      </c>
      <c r="B79" t="s">
        <v>10</v>
      </c>
      <c r="C79" t="s">
        <v>23</v>
      </c>
      <c r="D79" t="s">
        <v>28</v>
      </c>
      <c r="E79">
        <v>405</v>
      </c>
      <c r="F79">
        <v>654</v>
      </c>
      <c r="G79">
        <v>264870</v>
      </c>
      <c r="H79">
        <v>44059</v>
      </c>
    </row>
    <row r="80" spans="1:8" x14ac:dyDescent="0.25">
      <c r="A80">
        <v>2024</v>
      </c>
      <c r="B80" t="s">
        <v>10</v>
      </c>
      <c r="C80" t="s">
        <v>23</v>
      </c>
      <c r="D80" t="s">
        <v>29</v>
      </c>
      <c r="E80">
        <v>399</v>
      </c>
      <c r="F80">
        <v>588</v>
      </c>
      <c r="G80">
        <v>234612</v>
      </c>
      <c r="H80">
        <v>48954</v>
      </c>
    </row>
    <row r="81" spans="1:8" x14ac:dyDescent="0.25">
      <c r="A81">
        <v>2024</v>
      </c>
      <c r="B81" t="s">
        <v>10</v>
      </c>
      <c r="C81" t="s">
        <v>23</v>
      </c>
      <c r="D81" t="s">
        <v>30</v>
      </c>
      <c r="E81">
        <v>286</v>
      </c>
      <c r="F81">
        <v>571</v>
      </c>
      <c r="G81">
        <v>163306</v>
      </c>
      <c r="H81">
        <v>17093</v>
      </c>
    </row>
    <row r="82" spans="1:8" x14ac:dyDescent="0.25">
      <c r="A82">
        <v>2024</v>
      </c>
      <c r="B82" t="s">
        <v>10</v>
      </c>
      <c r="C82" t="s">
        <v>24</v>
      </c>
      <c r="D82" t="s">
        <v>26</v>
      </c>
      <c r="E82">
        <v>427</v>
      </c>
      <c r="F82">
        <v>269</v>
      </c>
      <c r="G82">
        <v>114863</v>
      </c>
      <c r="H82">
        <v>21182</v>
      </c>
    </row>
    <row r="83" spans="1:8" x14ac:dyDescent="0.25">
      <c r="A83">
        <v>2024</v>
      </c>
      <c r="B83" t="s">
        <v>10</v>
      </c>
      <c r="C83" t="s">
        <v>24</v>
      </c>
      <c r="D83" t="s">
        <v>27</v>
      </c>
      <c r="E83">
        <v>341</v>
      </c>
      <c r="F83">
        <v>258</v>
      </c>
      <c r="G83">
        <v>87978</v>
      </c>
      <c r="H83">
        <v>10899</v>
      </c>
    </row>
    <row r="84" spans="1:8" x14ac:dyDescent="0.25">
      <c r="A84">
        <v>2024</v>
      </c>
      <c r="B84" t="s">
        <v>10</v>
      </c>
      <c r="C84" t="s">
        <v>24</v>
      </c>
      <c r="D84" t="s">
        <v>28</v>
      </c>
      <c r="E84">
        <v>266</v>
      </c>
      <c r="F84">
        <v>230</v>
      </c>
      <c r="G84">
        <v>61180</v>
      </c>
      <c r="H84">
        <v>7528</v>
      </c>
    </row>
    <row r="85" spans="1:8" x14ac:dyDescent="0.25">
      <c r="A85">
        <v>2024</v>
      </c>
      <c r="B85" t="s">
        <v>10</v>
      </c>
      <c r="C85" t="s">
        <v>24</v>
      </c>
      <c r="D85" t="s">
        <v>29</v>
      </c>
      <c r="E85">
        <v>125</v>
      </c>
      <c r="F85">
        <v>277</v>
      </c>
      <c r="G85">
        <v>34625</v>
      </c>
      <c r="H85">
        <v>7415</v>
      </c>
    </row>
    <row r="86" spans="1:8" x14ac:dyDescent="0.25">
      <c r="A86">
        <v>2024</v>
      </c>
      <c r="B86" t="s">
        <v>10</v>
      </c>
      <c r="C86" t="s">
        <v>24</v>
      </c>
      <c r="D86" t="s">
        <v>30</v>
      </c>
      <c r="E86">
        <v>308</v>
      </c>
      <c r="F86">
        <v>281</v>
      </c>
      <c r="G86">
        <v>86548</v>
      </c>
      <c r="H86">
        <v>21215</v>
      </c>
    </row>
    <row r="87" spans="1:8" x14ac:dyDescent="0.25">
      <c r="A87">
        <v>2024</v>
      </c>
      <c r="B87" t="s">
        <v>10</v>
      </c>
      <c r="C87" t="s">
        <v>25</v>
      </c>
      <c r="D87" t="s">
        <v>26</v>
      </c>
      <c r="E87">
        <v>148</v>
      </c>
      <c r="F87">
        <v>355</v>
      </c>
      <c r="G87">
        <v>52540</v>
      </c>
      <c r="H87">
        <v>5263</v>
      </c>
    </row>
    <row r="88" spans="1:8" x14ac:dyDescent="0.25">
      <c r="A88">
        <v>2024</v>
      </c>
      <c r="B88" t="s">
        <v>10</v>
      </c>
      <c r="C88" t="s">
        <v>25</v>
      </c>
      <c r="D88" t="s">
        <v>27</v>
      </c>
      <c r="E88">
        <v>418</v>
      </c>
      <c r="F88">
        <v>368</v>
      </c>
      <c r="G88">
        <v>153824</v>
      </c>
      <c r="H88">
        <v>21094</v>
      </c>
    </row>
    <row r="89" spans="1:8" x14ac:dyDescent="0.25">
      <c r="A89">
        <v>2024</v>
      </c>
      <c r="B89" t="s">
        <v>10</v>
      </c>
      <c r="C89" t="s">
        <v>25</v>
      </c>
      <c r="D89" t="s">
        <v>28</v>
      </c>
      <c r="E89">
        <v>104</v>
      </c>
      <c r="F89">
        <v>332</v>
      </c>
      <c r="G89">
        <v>34528</v>
      </c>
      <c r="H89">
        <v>5998</v>
      </c>
    </row>
    <row r="90" spans="1:8" x14ac:dyDescent="0.25">
      <c r="A90">
        <v>2024</v>
      </c>
      <c r="B90" t="s">
        <v>10</v>
      </c>
      <c r="C90" t="s">
        <v>25</v>
      </c>
      <c r="D90" t="s">
        <v>29</v>
      </c>
      <c r="E90">
        <v>473</v>
      </c>
      <c r="F90">
        <v>372</v>
      </c>
      <c r="G90">
        <v>175956</v>
      </c>
      <c r="H90">
        <v>26197</v>
      </c>
    </row>
    <row r="91" spans="1:8" x14ac:dyDescent="0.25">
      <c r="A91">
        <v>2024</v>
      </c>
      <c r="B91" t="s">
        <v>10</v>
      </c>
      <c r="C91" t="s">
        <v>25</v>
      </c>
      <c r="D91" t="s">
        <v>30</v>
      </c>
      <c r="E91">
        <v>179</v>
      </c>
      <c r="F91">
        <v>342</v>
      </c>
      <c r="G91">
        <v>61218</v>
      </c>
      <c r="H91">
        <v>10301</v>
      </c>
    </row>
    <row r="92" spans="1:8" x14ac:dyDescent="0.25">
      <c r="A92">
        <v>2024</v>
      </c>
      <c r="B92" t="s">
        <v>11</v>
      </c>
      <c r="C92" t="s">
        <v>20</v>
      </c>
      <c r="D92" t="s">
        <v>26</v>
      </c>
      <c r="E92">
        <v>178</v>
      </c>
      <c r="F92">
        <v>1219</v>
      </c>
      <c r="G92">
        <v>216982</v>
      </c>
      <c r="H92">
        <v>43845</v>
      </c>
    </row>
    <row r="93" spans="1:8" x14ac:dyDescent="0.25">
      <c r="A93">
        <v>2024</v>
      </c>
      <c r="B93" t="s">
        <v>11</v>
      </c>
      <c r="C93" t="s">
        <v>20</v>
      </c>
      <c r="D93" t="s">
        <v>27</v>
      </c>
      <c r="E93">
        <v>205</v>
      </c>
      <c r="F93">
        <v>1296</v>
      </c>
      <c r="G93">
        <v>265680</v>
      </c>
      <c r="H93">
        <v>52750</v>
      </c>
    </row>
    <row r="94" spans="1:8" x14ac:dyDescent="0.25">
      <c r="A94">
        <v>2024</v>
      </c>
      <c r="B94" t="s">
        <v>11</v>
      </c>
      <c r="C94" t="s">
        <v>20</v>
      </c>
      <c r="D94" t="s">
        <v>28</v>
      </c>
      <c r="E94">
        <v>349</v>
      </c>
      <c r="F94">
        <v>1338</v>
      </c>
      <c r="G94">
        <v>466962</v>
      </c>
      <c r="H94">
        <v>101320</v>
      </c>
    </row>
    <row r="95" spans="1:8" x14ac:dyDescent="0.25">
      <c r="A95">
        <v>2024</v>
      </c>
      <c r="B95" t="s">
        <v>11</v>
      </c>
      <c r="C95" t="s">
        <v>20</v>
      </c>
      <c r="D95" t="s">
        <v>29</v>
      </c>
      <c r="E95">
        <v>408</v>
      </c>
      <c r="F95">
        <v>1224</v>
      </c>
      <c r="G95">
        <v>499392</v>
      </c>
      <c r="H95">
        <v>57799</v>
      </c>
    </row>
    <row r="96" spans="1:8" x14ac:dyDescent="0.25">
      <c r="A96">
        <v>2024</v>
      </c>
      <c r="B96" t="s">
        <v>11</v>
      </c>
      <c r="C96" t="s">
        <v>20</v>
      </c>
      <c r="D96" t="s">
        <v>30</v>
      </c>
      <c r="E96">
        <v>183</v>
      </c>
      <c r="F96">
        <v>1375</v>
      </c>
      <c r="G96">
        <v>251625</v>
      </c>
      <c r="H96">
        <v>30540</v>
      </c>
    </row>
    <row r="97" spans="1:8" x14ac:dyDescent="0.25">
      <c r="A97">
        <v>2024</v>
      </c>
      <c r="B97" t="s">
        <v>11</v>
      </c>
      <c r="C97" t="s">
        <v>21</v>
      </c>
      <c r="D97" t="s">
        <v>26</v>
      </c>
      <c r="E97">
        <v>187</v>
      </c>
      <c r="F97">
        <v>816</v>
      </c>
      <c r="G97">
        <v>152592</v>
      </c>
      <c r="H97">
        <v>20073</v>
      </c>
    </row>
    <row r="98" spans="1:8" x14ac:dyDescent="0.25">
      <c r="A98">
        <v>2024</v>
      </c>
      <c r="B98" t="s">
        <v>11</v>
      </c>
      <c r="C98" t="s">
        <v>21</v>
      </c>
      <c r="D98" t="s">
        <v>27</v>
      </c>
      <c r="E98">
        <v>283</v>
      </c>
      <c r="F98">
        <v>831</v>
      </c>
      <c r="G98">
        <v>235173</v>
      </c>
      <c r="H98">
        <v>23861</v>
      </c>
    </row>
    <row r="99" spans="1:8" x14ac:dyDescent="0.25">
      <c r="A99">
        <v>2024</v>
      </c>
      <c r="B99" t="s">
        <v>11</v>
      </c>
      <c r="C99" t="s">
        <v>21</v>
      </c>
      <c r="D99" t="s">
        <v>28</v>
      </c>
      <c r="E99">
        <v>95</v>
      </c>
      <c r="F99">
        <v>826</v>
      </c>
      <c r="G99">
        <v>78470</v>
      </c>
      <c r="H99">
        <v>18234</v>
      </c>
    </row>
    <row r="100" spans="1:8" x14ac:dyDescent="0.25">
      <c r="A100">
        <v>2024</v>
      </c>
      <c r="B100" t="s">
        <v>11</v>
      </c>
      <c r="C100" t="s">
        <v>21</v>
      </c>
      <c r="D100" t="s">
        <v>29</v>
      </c>
      <c r="E100">
        <v>184</v>
      </c>
      <c r="F100">
        <v>735</v>
      </c>
      <c r="G100">
        <v>135240</v>
      </c>
      <c r="H100">
        <v>21575</v>
      </c>
    </row>
    <row r="101" spans="1:8" x14ac:dyDescent="0.25">
      <c r="A101">
        <v>2024</v>
      </c>
      <c r="B101" t="s">
        <v>11</v>
      </c>
      <c r="C101" t="s">
        <v>21</v>
      </c>
      <c r="D101" t="s">
        <v>30</v>
      </c>
      <c r="E101">
        <v>322</v>
      </c>
      <c r="F101">
        <v>915</v>
      </c>
      <c r="G101">
        <v>294630</v>
      </c>
      <c r="H101">
        <v>38339</v>
      </c>
    </row>
    <row r="102" spans="1:8" x14ac:dyDescent="0.25">
      <c r="A102">
        <v>2024</v>
      </c>
      <c r="B102" t="s">
        <v>11</v>
      </c>
      <c r="C102" t="s">
        <v>22</v>
      </c>
      <c r="D102" t="s">
        <v>26</v>
      </c>
      <c r="E102">
        <v>237</v>
      </c>
      <c r="F102">
        <v>132</v>
      </c>
      <c r="G102">
        <v>31284</v>
      </c>
      <c r="H102">
        <v>4067</v>
      </c>
    </row>
    <row r="103" spans="1:8" x14ac:dyDescent="0.25">
      <c r="A103">
        <v>2024</v>
      </c>
      <c r="B103" t="s">
        <v>11</v>
      </c>
      <c r="C103" t="s">
        <v>22</v>
      </c>
      <c r="D103" t="s">
        <v>27</v>
      </c>
      <c r="E103">
        <v>453</v>
      </c>
      <c r="F103">
        <v>136</v>
      </c>
      <c r="G103">
        <v>61608</v>
      </c>
      <c r="H103">
        <v>7308</v>
      </c>
    </row>
    <row r="104" spans="1:8" x14ac:dyDescent="0.25">
      <c r="A104">
        <v>2024</v>
      </c>
      <c r="B104" t="s">
        <v>11</v>
      </c>
      <c r="C104" t="s">
        <v>22</v>
      </c>
      <c r="D104" t="s">
        <v>28</v>
      </c>
      <c r="E104">
        <v>238</v>
      </c>
      <c r="F104">
        <v>108</v>
      </c>
      <c r="G104">
        <v>25704</v>
      </c>
      <c r="H104">
        <v>6180</v>
      </c>
    </row>
    <row r="105" spans="1:8" x14ac:dyDescent="0.25">
      <c r="A105">
        <v>2024</v>
      </c>
      <c r="B105" t="s">
        <v>11</v>
      </c>
      <c r="C105" t="s">
        <v>22</v>
      </c>
      <c r="D105" t="s">
        <v>29</v>
      </c>
      <c r="E105">
        <v>356</v>
      </c>
      <c r="F105">
        <v>124</v>
      </c>
      <c r="G105">
        <v>44144</v>
      </c>
      <c r="H105">
        <v>9109</v>
      </c>
    </row>
    <row r="106" spans="1:8" x14ac:dyDescent="0.25">
      <c r="A106">
        <v>2024</v>
      </c>
      <c r="B106" t="s">
        <v>11</v>
      </c>
      <c r="C106" t="s">
        <v>22</v>
      </c>
      <c r="D106" t="s">
        <v>30</v>
      </c>
      <c r="E106">
        <v>405</v>
      </c>
      <c r="F106">
        <v>136</v>
      </c>
      <c r="G106">
        <v>55080</v>
      </c>
      <c r="H106">
        <v>10674</v>
      </c>
    </row>
    <row r="107" spans="1:8" x14ac:dyDescent="0.25">
      <c r="A107">
        <v>2024</v>
      </c>
      <c r="B107" t="s">
        <v>11</v>
      </c>
      <c r="C107" t="s">
        <v>23</v>
      </c>
      <c r="D107" t="s">
        <v>26</v>
      </c>
      <c r="E107">
        <v>192</v>
      </c>
      <c r="F107">
        <v>590</v>
      </c>
      <c r="G107">
        <v>113280</v>
      </c>
      <c r="H107">
        <v>25173</v>
      </c>
    </row>
    <row r="108" spans="1:8" x14ac:dyDescent="0.25">
      <c r="A108">
        <v>2024</v>
      </c>
      <c r="B108" t="s">
        <v>11</v>
      </c>
      <c r="C108" t="s">
        <v>23</v>
      </c>
      <c r="D108" t="s">
        <v>27</v>
      </c>
      <c r="E108">
        <v>101</v>
      </c>
      <c r="F108">
        <v>639</v>
      </c>
      <c r="G108">
        <v>64539</v>
      </c>
      <c r="H108">
        <v>11807</v>
      </c>
    </row>
    <row r="109" spans="1:8" x14ac:dyDescent="0.25">
      <c r="A109">
        <v>2024</v>
      </c>
      <c r="B109" t="s">
        <v>11</v>
      </c>
      <c r="C109" t="s">
        <v>23</v>
      </c>
      <c r="D109" t="s">
        <v>28</v>
      </c>
      <c r="E109">
        <v>464</v>
      </c>
      <c r="F109">
        <v>657</v>
      </c>
      <c r="G109">
        <v>304848</v>
      </c>
      <c r="H109">
        <v>52475</v>
      </c>
    </row>
    <row r="110" spans="1:8" x14ac:dyDescent="0.25">
      <c r="A110">
        <v>2024</v>
      </c>
      <c r="B110" t="s">
        <v>11</v>
      </c>
      <c r="C110" t="s">
        <v>23</v>
      </c>
      <c r="D110" t="s">
        <v>29</v>
      </c>
      <c r="E110">
        <v>243</v>
      </c>
      <c r="F110">
        <v>618</v>
      </c>
      <c r="G110">
        <v>150174</v>
      </c>
      <c r="H110">
        <v>31497</v>
      </c>
    </row>
    <row r="111" spans="1:8" x14ac:dyDescent="0.25">
      <c r="A111">
        <v>2024</v>
      </c>
      <c r="B111" t="s">
        <v>11</v>
      </c>
      <c r="C111" t="s">
        <v>23</v>
      </c>
      <c r="D111" t="s">
        <v>30</v>
      </c>
      <c r="E111">
        <v>107</v>
      </c>
      <c r="F111">
        <v>577</v>
      </c>
      <c r="G111">
        <v>61739</v>
      </c>
      <c r="H111">
        <v>7651</v>
      </c>
    </row>
    <row r="112" spans="1:8" x14ac:dyDescent="0.25">
      <c r="A112">
        <v>2024</v>
      </c>
      <c r="B112" t="s">
        <v>11</v>
      </c>
      <c r="C112" t="s">
        <v>24</v>
      </c>
      <c r="D112" t="s">
        <v>26</v>
      </c>
      <c r="E112">
        <v>448</v>
      </c>
      <c r="F112">
        <v>263</v>
      </c>
      <c r="G112">
        <v>117824</v>
      </c>
      <c r="H112">
        <v>17597</v>
      </c>
    </row>
    <row r="113" spans="1:8" x14ac:dyDescent="0.25">
      <c r="A113">
        <v>2024</v>
      </c>
      <c r="B113" t="s">
        <v>11</v>
      </c>
      <c r="C113" t="s">
        <v>24</v>
      </c>
      <c r="D113" t="s">
        <v>27</v>
      </c>
      <c r="E113">
        <v>374</v>
      </c>
      <c r="F113">
        <v>246</v>
      </c>
      <c r="G113">
        <v>92004</v>
      </c>
      <c r="H113">
        <v>11713</v>
      </c>
    </row>
    <row r="114" spans="1:8" x14ac:dyDescent="0.25">
      <c r="A114">
        <v>2024</v>
      </c>
      <c r="B114" t="s">
        <v>11</v>
      </c>
      <c r="C114" t="s">
        <v>24</v>
      </c>
      <c r="D114" t="s">
        <v>28</v>
      </c>
      <c r="E114">
        <v>233</v>
      </c>
      <c r="F114">
        <v>252</v>
      </c>
      <c r="G114">
        <v>58716</v>
      </c>
      <c r="H114">
        <v>6256</v>
      </c>
    </row>
    <row r="115" spans="1:8" x14ac:dyDescent="0.25">
      <c r="A115">
        <v>2024</v>
      </c>
      <c r="B115" t="s">
        <v>11</v>
      </c>
      <c r="C115" t="s">
        <v>24</v>
      </c>
      <c r="D115" t="s">
        <v>29</v>
      </c>
      <c r="E115">
        <v>447</v>
      </c>
      <c r="F115">
        <v>259</v>
      </c>
      <c r="G115">
        <v>115773</v>
      </c>
      <c r="H115">
        <v>24066</v>
      </c>
    </row>
    <row r="116" spans="1:8" x14ac:dyDescent="0.25">
      <c r="A116">
        <v>2024</v>
      </c>
      <c r="B116" t="s">
        <v>11</v>
      </c>
      <c r="C116" t="s">
        <v>24</v>
      </c>
      <c r="D116" t="s">
        <v>30</v>
      </c>
      <c r="E116">
        <v>270</v>
      </c>
      <c r="F116">
        <v>245</v>
      </c>
      <c r="G116">
        <v>66150</v>
      </c>
      <c r="H116">
        <v>11997</v>
      </c>
    </row>
    <row r="117" spans="1:8" x14ac:dyDescent="0.25">
      <c r="A117">
        <v>2024</v>
      </c>
      <c r="B117" t="s">
        <v>11</v>
      </c>
      <c r="C117" t="s">
        <v>25</v>
      </c>
      <c r="D117" t="s">
        <v>26</v>
      </c>
      <c r="E117">
        <v>162</v>
      </c>
      <c r="F117">
        <v>371</v>
      </c>
      <c r="G117">
        <v>60102</v>
      </c>
      <c r="H117">
        <v>7809</v>
      </c>
    </row>
    <row r="118" spans="1:8" x14ac:dyDescent="0.25">
      <c r="A118">
        <v>2024</v>
      </c>
      <c r="B118" t="s">
        <v>11</v>
      </c>
      <c r="C118" t="s">
        <v>25</v>
      </c>
      <c r="D118" t="s">
        <v>27</v>
      </c>
      <c r="E118">
        <v>134</v>
      </c>
      <c r="F118">
        <v>334</v>
      </c>
      <c r="G118">
        <v>44756</v>
      </c>
      <c r="H118">
        <v>7284</v>
      </c>
    </row>
    <row r="119" spans="1:8" x14ac:dyDescent="0.25">
      <c r="A119">
        <v>2024</v>
      </c>
      <c r="B119" t="s">
        <v>11</v>
      </c>
      <c r="C119" t="s">
        <v>25</v>
      </c>
      <c r="D119" t="s">
        <v>28</v>
      </c>
      <c r="E119">
        <v>337</v>
      </c>
      <c r="F119">
        <v>337</v>
      </c>
      <c r="G119">
        <v>113569</v>
      </c>
      <c r="H119">
        <v>19237</v>
      </c>
    </row>
    <row r="120" spans="1:8" x14ac:dyDescent="0.25">
      <c r="A120">
        <v>2024</v>
      </c>
      <c r="B120" t="s">
        <v>11</v>
      </c>
      <c r="C120" t="s">
        <v>25</v>
      </c>
      <c r="D120" t="s">
        <v>29</v>
      </c>
      <c r="E120">
        <v>344</v>
      </c>
      <c r="F120">
        <v>378</v>
      </c>
      <c r="G120">
        <v>130032</v>
      </c>
      <c r="H120">
        <v>27489</v>
      </c>
    </row>
    <row r="121" spans="1:8" x14ac:dyDescent="0.25">
      <c r="A121">
        <v>2024</v>
      </c>
      <c r="B121" t="s">
        <v>11</v>
      </c>
      <c r="C121" t="s">
        <v>25</v>
      </c>
      <c r="D121" t="s">
        <v>30</v>
      </c>
      <c r="E121">
        <v>439</v>
      </c>
      <c r="F121">
        <v>345</v>
      </c>
      <c r="G121">
        <v>151455</v>
      </c>
      <c r="H121">
        <v>23574</v>
      </c>
    </row>
    <row r="122" spans="1:8" x14ac:dyDescent="0.25">
      <c r="A122">
        <v>2024</v>
      </c>
      <c r="B122" t="s">
        <v>12</v>
      </c>
      <c r="C122" t="s">
        <v>20</v>
      </c>
      <c r="D122" t="s">
        <v>26</v>
      </c>
      <c r="E122">
        <v>114</v>
      </c>
      <c r="F122">
        <v>1231</v>
      </c>
      <c r="G122">
        <v>140334</v>
      </c>
      <c r="H122">
        <v>25469</v>
      </c>
    </row>
    <row r="123" spans="1:8" x14ac:dyDescent="0.25">
      <c r="A123">
        <v>2024</v>
      </c>
      <c r="B123" t="s">
        <v>12</v>
      </c>
      <c r="C123" t="s">
        <v>20</v>
      </c>
      <c r="D123" t="s">
        <v>27</v>
      </c>
      <c r="E123">
        <v>203</v>
      </c>
      <c r="F123">
        <v>1256</v>
      </c>
      <c r="G123">
        <v>254968</v>
      </c>
      <c r="H123">
        <v>26620</v>
      </c>
    </row>
    <row r="124" spans="1:8" x14ac:dyDescent="0.25">
      <c r="A124">
        <v>2024</v>
      </c>
      <c r="B124" t="s">
        <v>12</v>
      </c>
      <c r="C124" t="s">
        <v>20</v>
      </c>
      <c r="D124" t="s">
        <v>28</v>
      </c>
      <c r="E124">
        <v>356</v>
      </c>
      <c r="F124">
        <v>1342</v>
      </c>
      <c r="G124">
        <v>477752</v>
      </c>
      <c r="H124">
        <v>112322</v>
      </c>
    </row>
    <row r="125" spans="1:8" x14ac:dyDescent="0.25">
      <c r="A125">
        <v>2024</v>
      </c>
      <c r="B125" t="s">
        <v>12</v>
      </c>
      <c r="C125" t="s">
        <v>20</v>
      </c>
      <c r="D125" t="s">
        <v>29</v>
      </c>
      <c r="E125">
        <v>395</v>
      </c>
      <c r="F125">
        <v>1276</v>
      </c>
      <c r="G125">
        <v>504020</v>
      </c>
      <c r="H125">
        <v>125410</v>
      </c>
    </row>
    <row r="126" spans="1:8" x14ac:dyDescent="0.25">
      <c r="A126">
        <v>2024</v>
      </c>
      <c r="B126" t="s">
        <v>12</v>
      </c>
      <c r="C126" t="s">
        <v>20</v>
      </c>
      <c r="D126" t="s">
        <v>30</v>
      </c>
      <c r="E126">
        <v>307</v>
      </c>
      <c r="F126">
        <v>1353</v>
      </c>
      <c r="G126">
        <v>415371</v>
      </c>
      <c r="H126">
        <v>54662</v>
      </c>
    </row>
    <row r="127" spans="1:8" x14ac:dyDescent="0.25">
      <c r="A127">
        <v>2024</v>
      </c>
      <c r="B127" t="s">
        <v>12</v>
      </c>
      <c r="C127" t="s">
        <v>21</v>
      </c>
      <c r="D127" t="s">
        <v>26</v>
      </c>
      <c r="E127">
        <v>366</v>
      </c>
      <c r="F127">
        <v>813</v>
      </c>
      <c r="G127">
        <v>297558</v>
      </c>
      <c r="H127">
        <v>67069</v>
      </c>
    </row>
    <row r="128" spans="1:8" x14ac:dyDescent="0.25">
      <c r="A128">
        <v>2024</v>
      </c>
      <c r="B128" t="s">
        <v>12</v>
      </c>
      <c r="C128" t="s">
        <v>21</v>
      </c>
      <c r="D128" t="s">
        <v>27</v>
      </c>
      <c r="E128">
        <v>352</v>
      </c>
      <c r="F128">
        <v>746</v>
      </c>
      <c r="G128">
        <v>262592</v>
      </c>
      <c r="H128">
        <v>54454</v>
      </c>
    </row>
    <row r="129" spans="1:8" x14ac:dyDescent="0.25">
      <c r="A129">
        <v>2024</v>
      </c>
      <c r="B129" t="s">
        <v>12</v>
      </c>
      <c r="C129" t="s">
        <v>21</v>
      </c>
      <c r="D129" t="s">
        <v>28</v>
      </c>
      <c r="E129">
        <v>370</v>
      </c>
      <c r="F129">
        <v>840</v>
      </c>
      <c r="G129">
        <v>310800</v>
      </c>
      <c r="H129">
        <v>60569</v>
      </c>
    </row>
    <row r="130" spans="1:8" x14ac:dyDescent="0.25">
      <c r="A130">
        <v>2024</v>
      </c>
      <c r="B130" t="s">
        <v>12</v>
      </c>
      <c r="C130" t="s">
        <v>21</v>
      </c>
      <c r="D130" t="s">
        <v>29</v>
      </c>
      <c r="E130">
        <v>107</v>
      </c>
      <c r="F130">
        <v>914</v>
      </c>
      <c r="G130">
        <v>97798</v>
      </c>
      <c r="H130">
        <v>12434</v>
      </c>
    </row>
    <row r="131" spans="1:8" x14ac:dyDescent="0.25">
      <c r="A131">
        <v>2024</v>
      </c>
      <c r="B131" t="s">
        <v>12</v>
      </c>
      <c r="C131" t="s">
        <v>21</v>
      </c>
      <c r="D131" t="s">
        <v>30</v>
      </c>
      <c r="E131">
        <v>139</v>
      </c>
      <c r="F131">
        <v>769</v>
      </c>
      <c r="G131">
        <v>106891</v>
      </c>
      <c r="H131">
        <v>24650</v>
      </c>
    </row>
    <row r="132" spans="1:8" x14ac:dyDescent="0.25">
      <c r="A132">
        <v>2024</v>
      </c>
      <c r="B132" t="s">
        <v>12</v>
      </c>
      <c r="C132" t="s">
        <v>22</v>
      </c>
      <c r="D132" t="s">
        <v>26</v>
      </c>
      <c r="E132">
        <v>220</v>
      </c>
      <c r="F132">
        <v>125</v>
      </c>
      <c r="G132">
        <v>27500</v>
      </c>
      <c r="H132">
        <v>5140</v>
      </c>
    </row>
    <row r="133" spans="1:8" x14ac:dyDescent="0.25">
      <c r="A133">
        <v>2024</v>
      </c>
      <c r="B133" t="s">
        <v>12</v>
      </c>
      <c r="C133" t="s">
        <v>22</v>
      </c>
      <c r="D133" t="s">
        <v>27</v>
      </c>
      <c r="E133">
        <v>189</v>
      </c>
      <c r="F133">
        <v>125</v>
      </c>
      <c r="G133">
        <v>23625</v>
      </c>
      <c r="H133">
        <v>2941</v>
      </c>
    </row>
    <row r="134" spans="1:8" x14ac:dyDescent="0.25">
      <c r="A134">
        <v>2024</v>
      </c>
      <c r="B134" t="s">
        <v>12</v>
      </c>
      <c r="C134" t="s">
        <v>22</v>
      </c>
      <c r="D134" t="s">
        <v>28</v>
      </c>
      <c r="E134">
        <v>124</v>
      </c>
      <c r="F134">
        <v>115</v>
      </c>
      <c r="G134">
        <v>14260</v>
      </c>
      <c r="H134">
        <v>2830</v>
      </c>
    </row>
    <row r="135" spans="1:8" x14ac:dyDescent="0.25">
      <c r="A135">
        <v>2024</v>
      </c>
      <c r="B135" t="s">
        <v>12</v>
      </c>
      <c r="C135" t="s">
        <v>22</v>
      </c>
      <c r="D135" t="s">
        <v>29</v>
      </c>
      <c r="E135">
        <v>281</v>
      </c>
      <c r="F135">
        <v>137</v>
      </c>
      <c r="G135">
        <v>38497</v>
      </c>
      <c r="H135">
        <v>6470</v>
      </c>
    </row>
    <row r="136" spans="1:8" x14ac:dyDescent="0.25">
      <c r="A136">
        <v>2024</v>
      </c>
      <c r="B136" t="s">
        <v>12</v>
      </c>
      <c r="C136" t="s">
        <v>22</v>
      </c>
      <c r="D136" t="s">
        <v>30</v>
      </c>
      <c r="E136">
        <v>103</v>
      </c>
      <c r="F136">
        <v>110</v>
      </c>
      <c r="G136">
        <v>11330</v>
      </c>
      <c r="H136">
        <v>1421</v>
      </c>
    </row>
    <row r="137" spans="1:8" x14ac:dyDescent="0.25">
      <c r="A137">
        <v>2024</v>
      </c>
      <c r="B137" t="s">
        <v>12</v>
      </c>
      <c r="C137" t="s">
        <v>23</v>
      </c>
      <c r="D137" t="s">
        <v>26</v>
      </c>
      <c r="E137">
        <v>199</v>
      </c>
      <c r="F137">
        <v>590</v>
      </c>
      <c r="G137">
        <v>117410</v>
      </c>
      <c r="H137">
        <v>26338</v>
      </c>
    </row>
    <row r="138" spans="1:8" x14ac:dyDescent="0.25">
      <c r="A138">
        <v>2024</v>
      </c>
      <c r="B138" t="s">
        <v>12</v>
      </c>
      <c r="C138" t="s">
        <v>23</v>
      </c>
      <c r="D138" t="s">
        <v>27</v>
      </c>
      <c r="E138">
        <v>389</v>
      </c>
      <c r="F138">
        <v>607</v>
      </c>
      <c r="G138">
        <v>236123</v>
      </c>
      <c r="H138">
        <v>44434</v>
      </c>
    </row>
    <row r="139" spans="1:8" x14ac:dyDescent="0.25">
      <c r="A139">
        <v>2024</v>
      </c>
      <c r="B139" t="s">
        <v>12</v>
      </c>
      <c r="C139" t="s">
        <v>23</v>
      </c>
      <c r="D139" t="s">
        <v>28</v>
      </c>
      <c r="E139">
        <v>92</v>
      </c>
      <c r="F139">
        <v>577</v>
      </c>
      <c r="G139">
        <v>53084</v>
      </c>
      <c r="H139">
        <v>8168</v>
      </c>
    </row>
    <row r="140" spans="1:8" x14ac:dyDescent="0.25">
      <c r="A140">
        <v>2024</v>
      </c>
      <c r="B140" t="s">
        <v>12</v>
      </c>
      <c r="C140" t="s">
        <v>23</v>
      </c>
      <c r="D140" t="s">
        <v>29</v>
      </c>
      <c r="E140">
        <v>421</v>
      </c>
      <c r="F140">
        <v>545</v>
      </c>
      <c r="G140">
        <v>229445</v>
      </c>
      <c r="H140">
        <v>48289</v>
      </c>
    </row>
    <row r="141" spans="1:8" x14ac:dyDescent="0.25">
      <c r="A141">
        <v>2024</v>
      </c>
      <c r="B141" t="s">
        <v>12</v>
      </c>
      <c r="C141" t="s">
        <v>23</v>
      </c>
      <c r="D141" t="s">
        <v>30</v>
      </c>
      <c r="E141">
        <v>328</v>
      </c>
      <c r="F141">
        <v>611</v>
      </c>
      <c r="G141">
        <v>200408</v>
      </c>
      <c r="H141">
        <v>45417</v>
      </c>
    </row>
    <row r="142" spans="1:8" x14ac:dyDescent="0.25">
      <c r="A142">
        <v>2024</v>
      </c>
      <c r="B142" t="s">
        <v>12</v>
      </c>
      <c r="C142" t="s">
        <v>24</v>
      </c>
      <c r="D142" t="s">
        <v>26</v>
      </c>
      <c r="E142">
        <v>142</v>
      </c>
      <c r="F142">
        <v>252</v>
      </c>
      <c r="G142">
        <v>35784</v>
      </c>
      <c r="H142">
        <v>8217</v>
      </c>
    </row>
    <row r="143" spans="1:8" x14ac:dyDescent="0.25">
      <c r="A143">
        <v>2024</v>
      </c>
      <c r="B143" t="s">
        <v>12</v>
      </c>
      <c r="C143" t="s">
        <v>24</v>
      </c>
      <c r="D143" t="s">
        <v>27</v>
      </c>
      <c r="E143">
        <v>216</v>
      </c>
      <c r="F143">
        <v>258</v>
      </c>
      <c r="G143">
        <v>55728</v>
      </c>
      <c r="H143">
        <v>5858</v>
      </c>
    </row>
    <row r="144" spans="1:8" x14ac:dyDescent="0.25">
      <c r="A144">
        <v>2024</v>
      </c>
      <c r="B144" t="s">
        <v>12</v>
      </c>
      <c r="C144" t="s">
        <v>24</v>
      </c>
      <c r="D144" t="s">
        <v>28</v>
      </c>
      <c r="E144">
        <v>242</v>
      </c>
      <c r="F144">
        <v>232</v>
      </c>
      <c r="G144">
        <v>56144</v>
      </c>
      <c r="H144">
        <v>7560</v>
      </c>
    </row>
    <row r="145" spans="1:8" x14ac:dyDescent="0.25">
      <c r="A145">
        <v>2024</v>
      </c>
      <c r="B145" t="s">
        <v>12</v>
      </c>
      <c r="C145" t="s">
        <v>24</v>
      </c>
      <c r="D145" t="s">
        <v>29</v>
      </c>
      <c r="E145">
        <v>418</v>
      </c>
      <c r="F145">
        <v>227</v>
      </c>
      <c r="G145">
        <v>94886</v>
      </c>
      <c r="H145">
        <v>11226</v>
      </c>
    </row>
    <row r="146" spans="1:8" x14ac:dyDescent="0.25">
      <c r="A146">
        <v>2024</v>
      </c>
      <c r="B146" t="s">
        <v>12</v>
      </c>
      <c r="C146" t="s">
        <v>24</v>
      </c>
      <c r="D146" t="s">
        <v>30</v>
      </c>
      <c r="E146">
        <v>321</v>
      </c>
      <c r="F146">
        <v>236</v>
      </c>
      <c r="G146">
        <v>75756</v>
      </c>
      <c r="H146">
        <v>8581</v>
      </c>
    </row>
    <row r="147" spans="1:8" x14ac:dyDescent="0.25">
      <c r="A147">
        <v>2024</v>
      </c>
      <c r="B147" t="s">
        <v>12</v>
      </c>
      <c r="C147" t="s">
        <v>25</v>
      </c>
      <c r="D147" t="s">
        <v>26</v>
      </c>
      <c r="E147">
        <v>278</v>
      </c>
      <c r="F147">
        <v>359</v>
      </c>
      <c r="G147">
        <v>99802</v>
      </c>
      <c r="H147">
        <v>10602</v>
      </c>
    </row>
    <row r="148" spans="1:8" x14ac:dyDescent="0.25">
      <c r="A148">
        <v>2024</v>
      </c>
      <c r="B148" t="s">
        <v>12</v>
      </c>
      <c r="C148" t="s">
        <v>25</v>
      </c>
      <c r="D148" t="s">
        <v>27</v>
      </c>
      <c r="E148">
        <v>411</v>
      </c>
      <c r="F148">
        <v>401</v>
      </c>
      <c r="G148">
        <v>164811</v>
      </c>
      <c r="H148">
        <v>40340</v>
      </c>
    </row>
    <row r="149" spans="1:8" x14ac:dyDescent="0.25">
      <c r="A149">
        <v>2024</v>
      </c>
      <c r="B149" t="s">
        <v>12</v>
      </c>
      <c r="C149" t="s">
        <v>25</v>
      </c>
      <c r="D149" t="s">
        <v>28</v>
      </c>
      <c r="E149">
        <v>438</v>
      </c>
      <c r="F149">
        <v>316</v>
      </c>
      <c r="G149">
        <v>138408</v>
      </c>
      <c r="H149">
        <v>20549</v>
      </c>
    </row>
    <row r="150" spans="1:8" x14ac:dyDescent="0.25">
      <c r="A150">
        <v>2024</v>
      </c>
      <c r="B150" t="s">
        <v>12</v>
      </c>
      <c r="C150" t="s">
        <v>25</v>
      </c>
      <c r="D150" t="s">
        <v>29</v>
      </c>
      <c r="E150">
        <v>422</v>
      </c>
      <c r="F150">
        <v>390</v>
      </c>
      <c r="G150">
        <v>164580</v>
      </c>
      <c r="H150">
        <v>27684</v>
      </c>
    </row>
    <row r="151" spans="1:8" x14ac:dyDescent="0.25">
      <c r="A151">
        <v>2024</v>
      </c>
      <c r="B151" t="s">
        <v>12</v>
      </c>
      <c r="C151" t="s">
        <v>25</v>
      </c>
      <c r="D151" t="s">
        <v>30</v>
      </c>
      <c r="E151">
        <v>298</v>
      </c>
      <c r="F151">
        <v>344</v>
      </c>
      <c r="G151">
        <v>102512</v>
      </c>
      <c r="H151">
        <v>18435</v>
      </c>
    </row>
    <row r="152" spans="1:8" x14ac:dyDescent="0.25">
      <c r="A152">
        <v>2024</v>
      </c>
      <c r="B152" t="s">
        <v>13</v>
      </c>
      <c r="C152" t="s">
        <v>20</v>
      </c>
      <c r="D152" t="s">
        <v>26</v>
      </c>
      <c r="E152">
        <v>260</v>
      </c>
      <c r="F152">
        <v>1088</v>
      </c>
      <c r="G152">
        <v>282880</v>
      </c>
      <c r="H152">
        <v>41354</v>
      </c>
    </row>
    <row r="153" spans="1:8" x14ac:dyDescent="0.25">
      <c r="A153">
        <v>2024</v>
      </c>
      <c r="B153" t="s">
        <v>13</v>
      </c>
      <c r="C153" t="s">
        <v>20</v>
      </c>
      <c r="D153" t="s">
        <v>27</v>
      </c>
      <c r="E153">
        <v>354</v>
      </c>
      <c r="F153">
        <v>1299</v>
      </c>
      <c r="G153">
        <v>459846</v>
      </c>
      <c r="H153">
        <v>57185</v>
      </c>
    </row>
    <row r="154" spans="1:8" x14ac:dyDescent="0.25">
      <c r="A154">
        <v>2024</v>
      </c>
      <c r="B154" t="s">
        <v>13</v>
      </c>
      <c r="C154" t="s">
        <v>20</v>
      </c>
      <c r="D154" t="s">
        <v>28</v>
      </c>
      <c r="E154">
        <v>235</v>
      </c>
      <c r="F154">
        <v>1299</v>
      </c>
      <c r="G154">
        <v>305265</v>
      </c>
      <c r="H154">
        <v>37677</v>
      </c>
    </row>
    <row r="155" spans="1:8" x14ac:dyDescent="0.25">
      <c r="A155">
        <v>2024</v>
      </c>
      <c r="B155" t="s">
        <v>13</v>
      </c>
      <c r="C155" t="s">
        <v>20</v>
      </c>
      <c r="D155" t="s">
        <v>29</v>
      </c>
      <c r="E155">
        <v>95</v>
      </c>
      <c r="F155">
        <v>1369</v>
      </c>
      <c r="G155">
        <v>130055</v>
      </c>
      <c r="H155">
        <v>17986</v>
      </c>
    </row>
    <row r="156" spans="1:8" x14ac:dyDescent="0.25">
      <c r="A156">
        <v>2024</v>
      </c>
      <c r="B156" t="s">
        <v>13</v>
      </c>
      <c r="C156" t="s">
        <v>20</v>
      </c>
      <c r="D156" t="s">
        <v>30</v>
      </c>
      <c r="E156">
        <v>307</v>
      </c>
      <c r="F156">
        <v>1331</v>
      </c>
      <c r="G156">
        <v>408617</v>
      </c>
      <c r="H156">
        <v>98759</v>
      </c>
    </row>
    <row r="157" spans="1:8" x14ac:dyDescent="0.25">
      <c r="A157">
        <v>2024</v>
      </c>
      <c r="B157" t="s">
        <v>13</v>
      </c>
      <c r="C157" t="s">
        <v>21</v>
      </c>
      <c r="D157" t="s">
        <v>26</v>
      </c>
      <c r="E157">
        <v>218</v>
      </c>
      <c r="F157">
        <v>768</v>
      </c>
      <c r="G157">
        <v>167424</v>
      </c>
      <c r="H157">
        <v>37608</v>
      </c>
    </row>
    <row r="158" spans="1:8" x14ac:dyDescent="0.25">
      <c r="A158">
        <v>2024</v>
      </c>
      <c r="B158" t="s">
        <v>13</v>
      </c>
      <c r="C158" t="s">
        <v>21</v>
      </c>
      <c r="D158" t="s">
        <v>27</v>
      </c>
      <c r="E158">
        <v>432</v>
      </c>
      <c r="F158">
        <v>834</v>
      </c>
      <c r="G158">
        <v>360288</v>
      </c>
      <c r="H158">
        <v>37671</v>
      </c>
    </row>
    <row r="159" spans="1:8" x14ac:dyDescent="0.25">
      <c r="A159">
        <v>2024</v>
      </c>
      <c r="B159" t="s">
        <v>13</v>
      </c>
      <c r="C159" t="s">
        <v>21</v>
      </c>
      <c r="D159" t="s">
        <v>28</v>
      </c>
      <c r="E159">
        <v>431</v>
      </c>
      <c r="F159">
        <v>903</v>
      </c>
      <c r="G159">
        <v>389193</v>
      </c>
      <c r="H159">
        <v>73982</v>
      </c>
    </row>
    <row r="160" spans="1:8" x14ac:dyDescent="0.25">
      <c r="A160">
        <v>2024</v>
      </c>
      <c r="B160" t="s">
        <v>13</v>
      </c>
      <c r="C160" t="s">
        <v>21</v>
      </c>
      <c r="D160" t="s">
        <v>29</v>
      </c>
      <c r="E160">
        <v>414</v>
      </c>
      <c r="F160">
        <v>851</v>
      </c>
      <c r="G160">
        <v>352314</v>
      </c>
      <c r="H160">
        <v>56045</v>
      </c>
    </row>
    <row r="161" spans="1:8" x14ac:dyDescent="0.25">
      <c r="A161">
        <v>2024</v>
      </c>
      <c r="B161" t="s">
        <v>13</v>
      </c>
      <c r="C161" t="s">
        <v>21</v>
      </c>
      <c r="D161" t="s">
        <v>30</v>
      </c>
      <c r="E161">
        <v>167</v>
      </c>
      <c r="F161">
        <v>835</v>
      </c>
      <c r="G161">
        <v>139445</v>
      </c>
      <c r="H161">
        <v>21235</v>
      </c>
    </row>
    <row r="162" spans="1:8" x14ac:dyDescent="0.25">
      <c r="A162">
        <v>2024</v>
      </c>
      <c r="B162" t="s">
        <v>13</v>
      </c>
      <c r="C162" t="s">
        <v>22</v>
      </c>
      <c r="D162" t="s">
        <v>26</v>
      </c>
      <c r="E162">
        <v>306</v>
      </c>
      <c r="F162">
        <v>109</v>
      </c>
      <c r="G162">
        <v>33354</v>
      </c>
      <c r="H162">
        <v>8224</v>
      </c>
    </row>
    <row r="163" spans="1:8" x14ac:dyDescent="0.25">
      <c r="A163">
        <v>2024</v>
      </c>
      <c r="B163" t="s">
        <v>13</v>
      </c>
      <c r="C163" t="s">
        <v>22</v>
      </c>
      <c r="D163" t="s">
        <v>27</v>
      </c>
      <c r="E163">
        <v>280</v>
      </c>
      <c r="F163">
        <v>137</v>
      </c>
      <c r="G163">
        <v>38360</v>
      </c>
      <c r="H163">
        <v>8165</v>
      </c>
    </row>
    <row r="164" spans="1:8" x14ac:dyDescent="0.25">
      <c r="A164">
        <v>2024</v>
      </c>
      <c r="B164" t="s">
        <v>13</v>
      </c>
      <c r="C164" t="s">
        <v>22</v>
      </c>
      <c r="D164" t="s">
        <v>28</v>
      </c>
      <c r="E164">
        <v>366</v>
      </c>
      <c r="F164">
        <v>125</v>
      </c>
      <c r="G164">
        <v>45750</v>
      </c>
      <c r="H164">
        <v>9642</v>
      </c>
    </row>
    <row r="165" spans="1:8" x14ac:dyDescent="0.25">
      <c r="A165">
        <v>2024</v>
      </c>
      <c r="B165" t="s">
        <v>13</v>
      </c>
      <c r="C165" t="s">
        <v>22</v>
      </c>
      <c r="D165" t="s">
        <v>29</v>
      </c>
      <c r="E165">
        <v>200</v>
      </c>
      <c r="F165">
        <v>120</v>
      </c>
      <c r="G165">
        <v>24000</v>
      </c>
      <c r="H165">
        <v>3577</v>
      </c>
    </row>
    <row r="166" spans="1:8" x14ac:dyDescent="0.25">
      <c r="A166">
        <v>2024</v>
      </c>
      <c r="B166" t="s">
        <v>13</v>
      </c>
      <c r="C166" t="s">
        <v>22</v>
      </c>
      <c r="D166" t="s">
        <v>30</v>
      </c>
      <c r="E166">
        <v>204</v>
      </c>
      <c r="F166">
        <v>121</v>
      </c>
      <c r="G166">
        <v>24684</v>
      </c>
      <c r="H166">
        <v>5805</v>
      </c>
    </row>
    <row r="167" spans="1:8" x14ac:dyDescent="0.25">
      <c r="A167">
        <v>2024</v>
      </c>
      <c r="B167" t="s">
        <v>13</v>
      </c>
      <c r="C167" t="s">
        <v>23</v>
      </c>
      <c r="D167" t="s">
        <v>26</v>
      </c>
      <c r="E167">
        <v>405</v>
      </c>
      <c r="F167">
        <v>605</v>
      </c>
      <c r="G167">
        <v>245025</v>
      </c>
      <c r="H167">
        <v>54560</v>
      </c>
    </row>
    <row r="168" spans="1:8" x14ac:dyDescent="0.25">
      <c r="A168">
        <v>2024</v>
      </c>
      <c r="B168" t="s">
        <v>13</v>
      </c>
      <c r="C168" t="s">
        <v>23</v>
      </c>
      <c r="D168" t="s">
        <v>27</v>
      </c>
      <c r="E168">
        <v>440</v>
      </c>
      <c r="F168">
        <v>637</v>
      </c>
      <c r="G168">
        <v>280280</v>
      </c>
      <c r="H168">
        <v>41833</v>
      </c>
    </row>
    <row r="169" spans="1:8" x14ac:dyDescent="0.25">
      <c r="A169">
        <v>2024</v>
      </c>
      <c r="B169" t="s">
        <v>13</v>
      </c>
      <c r="C169" t="s">
        <v>23</v>
      </c>
      <c r="D169" t="s">
        <v>28</v>
      </c>
      <c r="E169">
        <v>162</v>
      </c>
      <c r="F169">
        <v>594</v>
      </c>
      <c r="G169">
        <v>96228</v>
      </c>
      <c r="H169">
        <v>15341</v>
      </c>
    </row>
    <row r="170" spans="1:8" x14ac:dyDescent="0.25">
      <c r="A170">
        <v>2024</v>
      </c>
      <c r="B170" t="s">
        <v>13</v>
      </c>
      <c r="C170" t="s">
        <v>23</v>
      </c>
      <c r="D170" t="s">
        <v>29</v>
      </c>
      <c r="E170">
        <v>447</v>
      </c>
      <c r="F170">
        <v>622</v>
      </c>
      <c r="G170">
        <v>278034</v>
      </c>
      <c r="H170">
        <v>52679</v>
      </c>
    </row>
    <row r="171" spans="1:8" x14ac:dyDescent="0.25">
      <c r="A171">
        <v>2024</v>
      </c>
      <c r="B171" t="s">
        <v>13</v>
      </c>
      <c r="C171" t="s">
        <v>23</v>
      </c>
      <c r="D171" t="s">
        <v>30</v>
      </c>
      <c r="E171">
        <v>342</v>
      </c>
      <c r="F171">
        <v>595</v>
      </c>
      <c r="G171">
        <v>203490</v>
      </c>
      <c r="H171">
        <v>27286</v>
      </c>
    </row>
    <row r="172" spans="1:8" x14ac:dyDescent="0.25">
      <c r="A172">
        <v>2024</v>
      </c>
      <c r="B172" t="s">
        <v>13</v>
      </c>
      <c r="C172" t="s">
        <v>24</v>
      </c>
      <c r="D172" t="s">
        <v>26</v>
      </c>
      <c r="E172">
        <v>391</v>
      </c>
      <c r="F172">
        <v>262</v>
      </c>
      <c r="G172">
        <v>102442</v>
      </c>
      <c r="H172">
        <v>20512</v>
      </c>
    </row>
    <row r="173" spans="1:8" x14ac:dyDescent="0.25">
      <c r="A173">
        <v>2024</v>
      </c>
      <c r="B173" t="s">
        <v>13</v>
      </c>
      <c r="C173" t="s">
        <v>24</v>
      </c>
      <c r="D173" t="s">
        <v>27</v>
      </c>
      <c r="E173">
        <v>389</v>
      </c>
      <c r="F173">
        <v>248</v>
      </c>
      <c r="G173">
        <v>96472</v>
      </c>
      <c r="H173">
        <v>22140</v>
      </c>
    </row>
    <row r="174" spans="1:8" x14ac:dyDescent="0.25">
      <c r="A174">
        <v>2024</v>
      </c>
      <c r="B174" t="s">
        <v>13</v>
      </c>
      <c r="C174" t="s">
        <v>24</v>
      </c>
      <c r="D174" t="s">
        <v>28</v>
      </c>
      <c r="E174">
        <v>433</v>
      </c>
      <c r="F174">
        <v>277</v>
      </c>
      <c r="G174">
        <v>119941</v>
      </c>
      <c r="H174">
        <v>28442</v>
      </c>
    </row>
    <row r="175" spans="1:8" x14ac:dyDescent="0.25">
      <c r="A175">
        <v>2024</v>
      </c>
      <c r="B175" t="s">
        <v>13</v>
      </c>
      <c r="C175" t="s">
        <v>24</v>
      </c>
      <c r="D175" t="s">
        <v>29</v>
      </c>
      <c r="E175">
        <v>339</v>
      </c>
      <c r="F175">
        <v>246</v>
      </c>
      <c r="G175">
        <v>83394</v>
      </c>
      <c r="H175">
        <v>13095</v>
      </c>
    </row>
    <row r="176" spans="1:8" x14ac:dyDescent="0.25">
      <c r="A176">
        <v>2024</v>
      </c>
      <c r="B176" t="s">
        <v>13</v>
      </c>
      <c r="C176" t="s">
        <v>24</v>
      </c>
      <c r="D176" t="s">
        <v>30</v>
      </c>
      <c r="E176">
        <v>433</v>
      </c>
      <c r="F176">
        <v>261</v>
      </c>
      <c r="G176">
        <v>113013</v>
      </c>
      <c r="H176">
        <v>20346</v>
      </c>
    </row>
    <row r="177" spans="1:8" x14ac:dyDescent="0.25">
      <c r="A177">
        <v>2024</v>
      </c>
      <c r="B177" t="s">
        <v>13</v>
      </c>
      <c r="C177" t="s">
        <v>25</v>
      </c>
      <c r="D177" t="s">
        <v>26</v>
      </c>
      <c r="E177">
        <v>396</v>
      </c>
      <c r="F177">
        <v>349</v>
      </c>
      <c r="G177">
        <v>138204</v>
      </c>
      <c r="H177">
        <v>25210</v>
      </c>
    </row>
    <row r="178" spans="1:8" x14ac:dyDescent="0.25">
      <c r="A178">
        <v>2024</v>
      </c>
      <c r="B178" t="s">
        <v>13</v>
      </c>
      <c r="C178" t="s">
        <v>25</v>
      </c>
      <c r="D178" t="s">
        <v>27</v>
      </c>
      <c r="E178">
        <v>431</v>
      </c>
      <c r="F178">
        <v>377</v>
      </c>
      <c r="G178">
        <v>162487</v>
      </c>
      <c r="H178">
        <v>39537</v>
      </c>
    </row>
    <row r="179" spans="1:8" x14ac:dyDescent="0.25">
      <c r="A179">
        <v>2024</v>
      </c>
      <c r="B179" t="s">
        <v>13</v>
      </c>
      <c r="C179" t="s">
        <v>25</v>
      </c>
      <c r="D179" t="s">
        <v>28</v>
      </c>
      <c r="E179">
        <v>113</v>
      </c>
      <c r="F179">
        <v>332</v>
      </c>
      <c r="G179">
        <v>37516</v>
      </c>
      <c r="H179">
        <v>3794</v>
      </c>
    </row>
    <row r="180" spans="1:8" x14ac:dyDescent="0.25">
      <c r="A180">
        <v>2024</v>
      </c>
      <c r="B180" t="s">
        <v>13</v>
      </c>
      <c r="C180" t="s">
        <v>25</v>
      </c>
      <c r="D180" t="s">
        <v>29</v>
      </c>
      <c r="E180">
        <v>432</v>
      </c>
      <c r="F180">
        <v>321</v>
      </c>
      <c r="G180">
        <v>138672</v>
      </c>
      <c r="H180">
        <v>33724</v>
      </c>
    </row>
    <row r="181" spans="1:8" x14ac:dyDescent="0.25">
      <c r="A181">
        <v>2024</v>
      </c>
      <c r="B181" t="s">
        <v>13</v>
      </c>
      <c r="C181" t="s">
        <v>25</v>
      </c>
      <c r="D181" t="s">
        <v>30</v>
      </c>
      <c r="E181">
        <v>419</v>
      </c>
      <c r="F181">
        <v>396</v>
      </c>
      <c r="G181">
        <v>165924</v>
      </c>
      <c r="H181">
        <v>18092</v>
      </c>
    </row>
    <row r="182" spans="1:8" x14ac:dyDescent="0.25">
      <c r="A182">
        <v>2024</v>
      </c>
      <c r="B182" t="s">
        <v>14</v>
      </c>
      <c r="C182" t="s">
        <v>20</v>
      </c>
      <c r="D182" t="s">
        <v>26</v>
      </c>
      <c r="E182">
        <v>392</v>
      </c>
      <c r="F182">
        <v>1223</v>
      </c>
      <c r="G182">
        <v>479416</v>
      </c>
      <c r="H182">
        <v>61932</v>
      </c>
    </row>
    <row r="183" spans="1:8" x14ac:dyDescent="0.25">
      <c r="A183">
        <v>2024</v>
      </c>
      <c r="B183" t="s">
        <v>14</v>
      </c>
      <c r="C183" t="s">
        <v>20</v>
      </c>
      <c r="D183" t="s">
        <v>27</v>
      </c>
      <c r="E183">
        <v>144</v>
      </c>
      <c r="F183">
        <v>1281</v>
      </c>
      <c r="G183">
        <v>184464</v>
      </c>
      <c r="H183">
        <v>44168</v>
      </c>
    </row>
    <row r="184" spans="1:8" x14ac:dyDescent="0.25">
      <c r="A184">
        <v>2024</v>
      </c>
      <c r="B184" t="s">
        <v>14</v>
      </c>
      <c r="C184" t="s">
        <v>20</v>
      </c>
      <c r="D184" t="s">
        <v>28</v>
      </c>
      <c r="E184">
        <v>259</v>
      </c>
      <c r="F184">
        <v>1241</v>
      </c>
      <c r="G184">
        <v>321419</v>
      </c>
      <c r="H184">
        <v>47150</v>
      </c>
    </row>
    <row r="185" spans="1:8" x14ac:dyDescent="0.25">
      <c r="A185">
        <v>2024</v>
      </c>
      <c r="B185" t="s">
        <v>14</v>
      </c>
      <c r="C185" t="s">
        <v>20</v>
      </c>
      <c r="D185" t="s">
        <v>29</v>
      </c>
      <c r="E185">
        <v>261</v>
      </c>
      <c r="F185">
        <v>1294</v>
      </c>
      <c r="G185">
        <v>337734</v>
      </c>
      <c r="H185">
        <v>47584</v>
      </c>
    </row>
    <row r="186" spans="1:8" x14ac:dyDescent="0.25">
      <c r="A186">
        <v>2024</v>
      </c>
      <c r="B186" t="s">
        <v>14</v>
      </c>
      <c r="C186" t="s">
        <v>20</v>
      </c>
      <c r="D186" t="s">
        <v>30</v>
      </c>
      <c r="E186">
        <v>232</v>
      </c>
      <c r="F186">
        <v>1326</v>
      </c>
      <c r="G186">
        <v>307632</v>
      </c>
      <c r="H186">
        <v>54872</v>
      </c>
    </row>
    <row r="187" spans="1:8" x14ac:dyDescent="0.25">
      <c r="A187">
        <v>2024</v>
      </c>
      <c r="B187" t="s">
        <v>14</v>
      </c>
      <c r="C187" t="s">
        <v>21</v>
      </c>
      <c r="D187" t="s">
        <v>26</v>
      </c>
      <c r="E187">
        <v>377</v>
      </c>
      <c r="F187">
        <v>856</v>
      </c>
      <c r="G187">
        <v>322712</v>
      </c>
      <c r="H187">
        <v>41054</v>
      </c>
    </row>
    <row r="188" spans="1:8" x14ac:dyDescent="0.25">
      <c r="A188">
        <v>2024</v>
      </c>
      <c r="B188" t="s">
        <v>14</v>
      </c>
      <c r="C188" t="s">
        <v>21</v>
      </c>
      <c r="D188" t="s">
        <v>27</v>
      </c>
      <c r="E188">
        <v>262</v>
      </c>
      <c r="F188">
        <v>861</v>
      </c>
      <c r="G188">
        <v>225582</v>
      </c>
      <c r="H188">
        <v>26174</v>
      </c>
    </row>
    <row r="189" spans="1:8" x14ac:dyDescent="0.25">
      <c r="A189">
        <v>2024</v>
      </c>
      <c r="B189" t="s">
        <v>14</v>
      </c>
      <c r="C189" t="s">
        <v>21</v>
      </c>
      <c r="D189" t="s">
        <v>28</v>
      </c>
      <c r="E189">
        <v>416</v>
      </c>
      <c r="F189">
        <v>903</v>
      </c>
      <c r="G189">
        <v>375648</v>
      </c>
      <c r="H189">
        <v>61485</v>
      </c>
    </row>
    <row r="190" spans="1:8" x14ac:dyDescent="0.25">
      <c r="A190">
        <v>2024</v>
      </c>
      <c r="B190" t="s">
        <v>14</v>
      </c>
      <c r="C190" t="s">
        <v>21</v>
      </c>
      <c r="D190" t="s">
        <v>29</v>
      </c>
      <c r="E190">
        <v>377</v>
      </c>
      <c r="F190">
        <v>883</v>
      </c>
      <c r="G190">
        <v>332891</v>
      </c>
      <c r="H190">
        <v>51939</v>
      </c>
    </row>
    <row r="191" spans="1:8" x14ac:dyDescent="0.25">
      <c r="A191">
        <v>2024</v>
      </c>
      <c r="B191" t="s">
        <v>14</v>
      </c>
      <c r="C191" t="s">
        <v>21</v>
      </c>
      <c r="D191" t="s">
        <v>30</v>
      </c>
      <c r="E191">
        <v>278</v>
      </c>
      <c r="F191">
        <v>846</v>
      </c>
      <c r="G191">
        <v>235188</v>
      </c>
      <c r="H191">
        <v>57082</v>
      </c>
    </row>
    <row r="192" spans="1:8" x14ac:dyDescent="0.25">
      <c r="A192">
        <v>2024</v>
      </c>
      <c r="B192" t="s">
        <v>14</v>
      </c>
      <c r="C192" t="s">
        <v>22</v>
      </c>
      <c r="D192" t="s">
        <v>26</v>
      </c>
      <c r="E192">
        <v>217</v>
      </c>
      <c r="F192">
        <v>123</v>
      </c>
      <c r="G192">
        <v>26691</v>
      </c>
      <c r="H192">
        <v>5045</v>
      </c>
    </row>
    <row r="193" spans="1:8" x14ac:dyDescent="0.25">
      <c r="A193">
        <v>2024</v>
      </c>
      <c r="B193" t="s">
        <v>14</v>
      </c>
      <c r="C193" t="s">
        <v>22</v>
      </c>
      <c r="D193" t="s">
        <v>27</v>
      </c>
      <c r="E193">
        <v>115</v>
      </c>
      <c r="F193">
        <v>114</v>
      </c>
      <c r="G193">
        <v>13110</v>
      </c>
      <c r="H193">
        <v>2512</v>
      </c>
    </row>
    <row r="194" spans="1:8" x14ac:dyDescent="0.25">
      <c r="A194">
        <v>2024</v>
      </c>
      <c r="B194" t="s">
        <v>14</v>
      </c>
      <c r="C194" t="s">
        <v>22</v>
      </c>
      <c r="D194" t="s">
        <v>28</v>
      </c>
      <c r="E194">
        <v>220</v>
      </c>
      <c r="F194">
        <v>133</v>
      </c>
      <c r="G194">
        <v>29260</v>
      </c>
      <c r="H194">
        <v>6876</v>
      </c>
    </row>
    <row r="195" spans="1:8" x14ac:dyDescent="0.25">
      <c r="A195">
        <v>2024</v>
      </c>
      <c r="B195" t="s">
        <v>14</v>
      </c>
      <c r="C195" t="s">
        <v>22</v>
      </c>
      <c r="D195" t="s">
        <v>29</v>
      </c>
      <c r="E195">
        <v>316</v>
      </c>
      <c r="F195">
        <v>124</v>
      </c>
      <c r="G195">
        <v>39184</v>
      </c>
      <c r="H195">
        <v>5420</v>
      </c>
    </row>
    <row r="196" spans="1:8" x14ac:dyDescent="0.25">
      <c r="A196">
        <v>2024</v>
      </c>
      <c r="B196" t="s">
        <v>14</v>
      </c>
      <c r="C196" t="s">
        <v>22</v>
      </c>
      <c r="D196" t="s">
        <v>30</v>
      </c>
      <c r="E196">
        <v>162</v>
      </c>
      <c r="F196">
        <v>116</v>
      </c>
      <c r="G196">
        <v>18792</v>
      </c>
      <c r="H196">
        <v>4197</v>
      </c>
    </row>
    <row r="197" spans="1:8" x14ac:dyDescent="0.25">
      <c r="A197">
        <v>2024</v>
      </c>
      <c r="B197" t="s">
        <v>14</v>
      </c>
      <c r="C197" t="s">
        <v>23</v>
      </c>
      <c r="D197" t="s">
        <v>26</v>
      </c>
      <c r="E197">
        <v>153</v>
      </c>
      <c r="F197">
        <v>640</v>
      </c>
      <c r="G197">
        <v>97920</v>
      </c>
      <c r="H197">
        <v>21682</v>
      </c>
    </row>
    <row r="198" spans="1:8" x14ac:dyDescent="0.25">
      <c r="A198">
        <v>2024</v>
      </c>
      <c r="B198" t="s">
        <v>14</v>
      </c>
      <c r="C198" t="s">
        <v>23</v>
      </c>
      <c r="D198" t="s">
        <v>27</v>
      </c>
      <c r="E198">
        <v>268</v>
      </c>
      <c r="F198">
        <v>562</v>
      </c>
      <c r="G198">
        <v>150616</v>
      </c>
      <c r="H198">
        <v>24639</v>
      </c>
    </row>
    <row r="199" spans="1:8" x14ac:dyDescent="0.25">
      <c r="A199">
        <v>2024</v>
      </c>
      <c r="B199" t="s">
        <v>14</v>
      </c>
      <c r="C199" t="s">
        <v>23</v>
      </c>
      <c r="D199" t="s">
        <v>28</v>
      </c>
      <c r="E199">
        <v>163</v>
      </c>
      <c r="F199">
        <v>565</v>
      </c>
      <c r="G199">
        <v>92095</v>
      </c>
      <c r="H199">
        <v>19388</v>
      </c>
    </row>
    <row r="200" spans="1:8" x14ac:dyDescent="0.25">
      <c r="A200">
        <v>2024</v>
      </c>
      <c r="B200" t="s">
        <v>14</v>
      </c>
      <c r="C200" t="s">
        <v>23</v>
      </c>
      <c r="D200" t="s">
        <v>29</v>
      </c>
      <c r="E200">
        <v>336</v>
      </c>
      <c r="F200">
        <v>610</v>
      </c>
      <c r="G200">
        <v>204960</v>
      </c>
      <c r="H200">
        <v>36955</v>
      </c>
    </row>
    <row r="201" spans="1:8" x14ac:dyDescent="0.25">
      <c r="A201">
        <v>2024</v>
      </c>
      <c r="B201" t="s">
        <v>14</v>
      </c>
      <c r="C201" t="s">
        <v>23</v>
      </c>
      <c r="D201" t="s">
        <v>30</v>
      </c>
      <c r="E201">
        <v>252</v>
      </c>
      <c r="F201">
        <v>543</v>
      </c>
      <c r="G201">
        <v>136836</v>
      </c>
      <c r="H201">
        <v>26860</v>
      </c>
    </row>
    <row r="202" spans="1:8" x14ac:dyDescent="0.25">
      <c r="A202">
        <v>2024</v>
      </c>
      <c r="B202" t="s">
        <v>14</v>
      </c>
      <c r="C202" t="s">
        <v>24</v>
      </c>
      <c r="D202" t="s">
        <v>26</v>
      </c>
      <c r="E202">
        <v>263</v>
      </c>
      <c r="F202">
        <v>264</v>
      </c>
      <c r="G202">
        <v>69432</v>
      </c>
      <c r="H202">
        <v>9618</v>
      </c>
    </row>
    <row r="203" spans="1:8" x14ac:dyDescent="0.25">
      <c r="A203">
        <v>2024</v>
      </c>
      <c r="B203" t="s">
        <v>14</v>
      </c>
      <c r="C203" t="s">
        <v>24</v>
      </c>
      <c r="D203" t="s">
        <v>27</v>
      </c>
      <c r="E203">
        <v>172</v>
      </c>
      <c r="F203">
        <v>262</v>
      </c>
      <c r="G203">
        <v>45064</v>
      </c>
      <c r="H203">
        <v>7864</v>
      </c>
    </row>
    <row r="204" spans="1:8" x14ac:dyDescent="0.25">
      <c r="A204">
        <v>2024</v>
      </c>
      <c r="B204" t="s">
        <v>14</v>
      </c>
      <c r="C204" t="s">
        <v>24</v>
      </c>
      <c r="D204" t="s">
        <v>28</v>
      </c>
      <c r="E204">
        <v>371</v>
      </c>
      <c r="F204">
        <v>242</v>
      </c>
      <c r="G204">
        <v>89782</v>
      </c>
      <c r="H204">
        <v>17018</v>
      </c>
    </row>
    <row r="205" spans="1:8" x14ac:dyDescent="0.25">
      <c r="A205">
        <v>2024</v>
      </c>
      <c r="B205" t="s">
        <v>14</v>
      </c>
      <c r="C205" t="s">
        <v>24</v>
      </c>
      <c r="D205" t="s">
        <v>29</v>
      </c>
      <c r="E205">
        <v>248</v>
      </c>
      <c r="F205">
        <v>250</v>
      </c>
      <c r="G205">
        <v>62000</v>
      </c>
      <c r="H205">
        <v>10182</v>
      </c>
    </row>
    <row r="206" spans="1:8" x14ac:dyDescent="0.25">
      <c r="A206">
        <v>2024</v>
      </c>
      <c r="B206" t="s">
        <v>14</v>
      </c>
      <c r="C206" t="s">
        <v>24</v>
      </c>
      <c r="D206" t="s">
        <v>30</v>
      </c>
      <c r="E206">
        <v>271</v>
      </c>
      <c r="F206">
        <v>270</v>
      </c>
      <c r="G206">
        <v>73170</v>
      </c>
      <c r="H206">
        <v>7490</v>
      </c>
    </row>
    <row r="207" spans="1:8" x14ac:dyDescent="0.25">
      <c r="A207">
        <v>2024</v>
      </c>
      <c r="B207" t="s">
        <v>14</v>
      </c>
      <c r="C207" t="s">
        <v>25</v>
      </c>
      <c r="D207" t="s">
        <v>26</v>
      </c>
      <c r="E207">
        <v>396</v>
      </c>
      <c r="F207">
        <v>326</v>
      </c>
      <c r="G207">
        <v>129096</v>
      </c>
      <c r="H207">
        <v>14925</v>
      </c>
    </row>
    <row r="208" spans="1:8" x14ac:dyDescent="0.25">
      <c r="A208">
        <v>2024</v>
      </c>
      <c r="B208" t="s">
        <v>14</v>
      </c>
      <c r="C208" t="s">
        <v>25</v>
      </c>
      <c r="D208" t="s">
        <v>27</v>
      </c>
      <c r="E208">
        <v>327</v>
      </c>
      <c r="F208">
        <v>344</v>
      </c>
      <c r="G208">
        <v>112488</v>
      </c>
      <c r="H208">
        <v>26527</v>
      </c>
    </row>
    <row r="209" spans="1:8" x14ac:dyDescent="0.25">
      <c r="A209">
        <v>2024</v>
      </c>
      <c r="B209" t="s">
        <v>14</v>
      </c>
      <c r="C209" t="s">
        <v>25</v>
      </c>
      <c r="D209" t="s">
        <v>28</v>
      </c>
      <c r="E209">
        <v>207</v>
      </c>
      <c r="F209">
        <v>321</v>
      </c>
      <c r="G209">
        <v>66447</v>
      </c>
      <c r="H209">
        <v>7498</v>
      </c>
    </row>
    <row r="210" spans="1:8" x14ac:dyDescent="0.25">
      <c r="A210">
        <v>2024</v>
      </c>
      <c r="B210" t="s">
        <v>14</v>
      </c>
      <c r="C210" t="s">
        <v>25</v>
      </c>
      <c r="D210" t="s">
        <v>29</v>
      </c>
      <c r="E210">
        <v>268</v>
      </c>
      <c r="F210">
        <v>331</v>
      </c>
      <c r="G210">
        <v>88708</v>
      </c>
      <c r="H210">
        <v>13173</v>
      </c>
    </row>
    <row r="211" spans="1:8" x14ac:dyDescent="0.25">
      <c r="A211">
        <v>2024</v>
      </c>
      <c r="B211" t="s">
        <v>14</v>
      </c>
      <c r="C211" t="s">
        <v>25</v>
      </c>
      <c r="D211" t="s">
        <v>30</v>
      </c>
      <c r="E211">
        <v>164</v>
      </c>
      <c r="F211">
        <v>346</v>
      </c>
      <c r="G211">
        <v>56744</v>
      </c>
      <c r="H211">
        <v>6265</v>
      </c>
    </row>
    <row r="212" spans="1:8" x14ac:dyDescent="0.25">
      <c r="A212">
        <v>2024</v>
      </c>
      <c r="B212" t="s">
        <v>15</v>
      </c>
      <c r="C212" t="s">
        <v>20</v>
      </c>
      <c r="D212" t="s">
        <v>26</v>
      </c>
      <c r="E212">
        <v>138</v>
      </c>
      <c r="F212">
        <v>1329</v>
      </c>
      <c r="G212">
        <v>183402</v>
      </c>
      <c r="H212">
        <v>36761</v>
      </c>
    </row>
    <row r="213" spans="1:8" x14ac:dyDescent="0.25">
      <c r="A213">
        <v>2024</v>
      </c>
      <c r="B213" t="s">
        <v>15</v>
      </c>
      <c r="C213" t="s">
        <v>20</v>
      </c>
      <c r="D213" t="s">
        <v>27</v>
      </c>
      <c r="E213">
        <v>114</v>
      </c>
      <c r="F213">
        <v>1272</v>
      </c>
      <c r="G213">
        <v>145008</v>
      </c>
      <c r="H213">
        <v>20398</v>
      </c>
    </row>
    <row r="214" spans="1:8" x14ac:dyDescent="0.25">
      <c r="A214">
        <v>2024</v>
      </c>
      <c r="B214" t="s">
        <v>15</v>
      </c>
      <c r="C214" t="s">
        <v>20</v>
      </c>
      <c r="D214" t="s">
        <v>28</v>
      </c>
      <c r="E214">
        <v>302</v>
      </c>
      <c r="F214">
        <v>1275</v>
      </c>
      <c r="G214">
        <v>385050</v>
      </c>
      <c r="H214">
        <v>69287</v>
      </c>
    </row>
    <row r="215" spans="1:8" x14ac:dyDescent="0.25">
      <c r="A215">
        <v>2024</v>
      </c>
      <c r="B215" t="s">
        <v>15</v>
      </c>
      <c r="C215" t="s">
        <v>20</v>
      </c>
      <c r="D215" t="s">
        <v>29</v>
      </c>
      <c r="E215">
        <v>148</v>
      </c>
      <c r="F215">
        <v>1179</v>
      </c>
      <c r="G215">
        <v>174492</v>
      </c>
      <c r="H215">
        <v>34972</v>
      </c>
    </row>
    <row r="216" spans="1:8" x14ac:dyDescent="0.25">
      <c r="A216">
        <v>2024</v>
      </c>
      <c r="B216" t="s">
        <v>15</v>
      </c>
      <c r="C216" t="s">
        <v>20</v>
      </c>
      <c r="D216" t="s">
        <v>30</v>
      </c>
      <c r="E216">
        <v>318</v>
      </c>
      <c r="F216">
        <v>1193</v>
      </c>
      <c r="G216">
        <v>379374</v>
      </c>
      <c r="H216">
        <v>58591</v>
      </c>
    </row>
    <row r="217" spans="1:8" x14ac:dyDescent="0.25">
      <c r="A217">
        <v>2024</v>
      </c>
      <c r="B217" t="s">
        <v>15</v>
      </c>
      <c r="C217" t="s">
        <v>21</v>
      </c>
      <c r="D217" t="s">
        <v>26</v>
      </c>
      <c r="E217">
        <v>400</v>
      </c>
      <c r="F217">
        <v>866</v>
      </c>
      <c r="G217">
        <v>346400</v>
      </c>
      <c r="H217">
        <v>58812</v>
      </c>
    </row>
    <row r="218" spans="1:8" x14ac:dyDescent="0.25">
      <c r="A218">
        <v>2024</v>
      </c>
      <c r="B218" t="s">
        <v>15</v>
      </c>
      <c r="C218" t="s">
        <v>21</v>
      </c>
      <c r="D218" t="s">
        <v>27</v>
      </c>
      <c r="E218">
        <v>371</v>
      </c>
      <c r="F218">
        <v>836</v>
      </c>
      <c r="G218">
        <v>310156</v>
      </c>
      <c r="H218">
        <v>35145</v>
      </c>
    </row>
    <row r="219" spans="1:8" x14ac:dyDescent="0.25">
      <c r="A219">
        <v>2024</v>
      </c>
      <c r="B219" t="s">
        <v>15</v>
      </c>
      <c r="C219" t="s">
        <v>21</v>
      </c>
      <c r="D219" t="s">
        <v>28</v>
      </c>
      <c r="E219">
        <v>396</v>
      </c>
      <c r="F219">
        <v>870</v>
      </c>
      <c r="G219">
        <v>344520</v>
      </c>
      <c r="H219">
        <v>43261</v>
      </c>
    </row>
    <row r="220" spans="1:8" x14ac:dyDescent="0.25">
      <c r="A220">
        <v>2024</v>
      </c>
      <c r="B220" t="s">
        <v>15</v>
      </c>
      <c r="C220" t="s">
        <v>21</v>
      </c>
      <c r="D220" t="s">
        <v>29</v>
      </c>
      <c r="E220">
        <v>200</v>
      </c>
      <c r="F220">
        <v>739</v>
      </c>
      <c r="G220">
        <v>147800</v>
      </c>
      <c r="H220">
        <v>24764</v>
      </c>
    </row>
    <row r="221" spans="1:8" x14ac:dyDescent="0.25">
      <c r="A221">
        <v>2024</v>
      </c>
      <c r="B221" t="s">
        <v>15</v>
      </c>
      <c r="C221" t="s">
        <v>21</v>
      </c>
      <c r="D221" t="s">
        <v>30</v>
      </c>
      <c r="E221">
        <v>98</v>
      </c>
      <c r="F221">
        <v>789</v>
      </c>
      <c r="G221">
        <v>77322</v>
      </c>
      <c r="H221">
        <v>15444</v>
      </c>
    </row>
    <row r="222" spans="1:8" x14ac:dyDescent="0.25">
      <c r="A222">
        <v>2024</v>
      </c>
      <c r="B222" t="s">
        <v>15</v>
      </c>
      <c r="C222" t="s">
        <v>22</v>
      </c>
      <c r="D222" t="s">
        <v>26</v>
      </c>
      <c r="E222">
        <v>88</v>
      </c>
      <c r="F222">
        <v>135</v>
      </c>
      <c r="G222">
        <v>11880</v>
      </c>
      <c r="H222">
        <v>1606</v>
      </c>
    </row>
    <row r="223" spans="1:8" x14ac:dyDescent="0.25">
      <c r="A223">
        <v>2024</v>
      </c>
      <c r="B223" t="s">
        <v>15</v>
      </c>
      <c r="C223" t="s">
        <v>22</v>
      </c>
      <c r="D223" t="s">
        <v>27</v>
      </c>
      <c r="E223">
        <v>210</v>
      </c>
      <c r="F223">
        <v>112</v>
      </c>
      <c r="G223">
        <v>23520</v>
      </c>
      <c r="H223">
        <v>5853</v>
      </c>
    </row>
    <row r="224" spans="1:8" x14ac:dyDescent="0.25">
      <c r="A224">
        <v>2024</v>
      </c>
      <c r="B224" t="s">
        <v>15</v>
      </c>
      <c r="C224" t="s">
        <v>22</v>
      </c>
      <c r="D224" t="s">
        <v>28</v>
      </c>
      <c r="E224">
        <v>354</v>
      </c>
      <c r="F224">
        <v>124</v>
      </c>
      <c r="G224">
        <v>43896</v>
      </c>
      <c r="H224">
        <v>9933</v>
      </c>
    </row>
    <row r="225" spans="1:8" x14ac:dyDescent="0.25">
      <c r="A225">
        <v>2024</v>
      </c>
      <c r="B225" t="s">
        <v>15</v>
      </c>
      <c r="C225" t="s">
        <v>22</v>
      </c>
      <c r="D225" t="s">
        <v>29</v>
      </c>
      <c r="E225">
        <v>246</v>
      </c>
      <c r="F225">
        <v>110</v>
      </c>
      <c r="G225">
        <v>27060</v>
      </c>
      <c r="H225">
        <v>3749</v>
      </c>
    </row>
    <row r="226" spans="1:8" x14ac:dyDescent="0.25">
      <c r="A226">
        <v>2024</v>
      </c>
      <c r="B226" t="s">
        <v>15</v>
      </c>
      <c r="C226" t="s">
        <v>22</v>
      </c>
      <c r="D226" t="s">
        <v>30</v>
      </c>
      <c r="E226">
        <v>335</v>
      </c>
      <c r="F226">
        <v>133</v>
      </c>
      <c r="G226">
        <v>44555</v>
      </c>
      <c r="H226">
        <v>8522</v>
      </c>
    </row>
    <row r="227" spans="1:8" x14ac:dyDescent="0.25">
      <c r="A227">
        <v>2024</v>
      </c>
      <c r="B227" t="s">
        <v>15</v>
      </c>
      <c r="C227" t="s">
        <v>23</v>
      </c>
      <c r="D227" t="s">
        <v>26</v>
      </c>
      <c r="E227">
        <v>126</v>
      </c>
      <c r="F227">
        <v>563</v>
      </c>
      <c r="G227">
        <v>70938</v>
      </c>
      <c r="H227">
        <v>7765</v>
      </c>
    </row>
    <row r="228" spans="1:8" x14ac:dyDescent="0.25">
      <c r="A228">
        <v>2024</v>
      </c>
      <c r="B228" t="s">
        <v>15</v>
      </c>
      <c r="C228" t="s">
        <v>23</v>
      </c>
      <c r="D228" t="s">
        <v>27</v>
      </c>
      <c r="E228">
        <v>401</v>
      </c>
      <c r="F228">
        <v>585</v>
      </c>
      <c r="G228">
        <v>234585</v>
      </c>
      <c r="H228">
        <v>32716</v>
      </c>
    </row>
    <row r="229" spans="1:8" x14ac:dyDescent="0.25">
      <c r="A229">
        <v>2024</v>
      </c>
      <c r="B229" t="s">
        <v>15</v>
      </c>
      <c r="C229" t="s">
        <v>23</v>
      </c>
      <c r="D229" t="s">
        <v>28</v>
      </c>
      <c r="E229">
        <v>157</v>
      </c>
      <c r="F229">
        <v>597</v>
      </c>
      <c r="G229">
        <v>93729</v>
      </c>
      <c r="H229">
        <v>14241</v>
      </c>
    </row>
    <row r="230" spans="1:8" x14ac:dyDescent="0.25">
      <c r="A230">
        <v>2024</v>
      </c>
      <c r="B230" t="s">
        <v>15</v>
      </c>
      <c r="C230" t="s">
        <v>23</v>
      </c>
      <c r="D230" t="s">
        <v>29</v>
      </c>
      <c r="E230">
        <v>355</v>
      </c>
      <c r="F230">
        <v>623</v>
      </c>
      <c r="G230">
        <v>221165</v>
      </c>
      <c r="H230">
        <v>32252</v>
      </c>
    </row>
    <row r="231" spans="1:8" x14ac:dyDescent="0.25">
      <c r="A231">
        <v>2024</v>
      </c>
      <c r="B231" t="s">
        <v>15</v>
      </c>
      <c r="C231" t="s">
        <v>23</v>
      </c>
      <c r="D231" t="s">
        <v>30</v>
      </c>
      <c r="E231">
        <v>280</v>
      </c>
      <c r="F231">
        <v>581</v>
      </c>
      <c r="G231">
        <v>162680</v>
      </c>
      <c r="H231">
        <v>39264</v>
      </c>
    </row>
    <row r="232" spans="1:8" x14ac:dyDescent="0.25">
      <c r="A232">
        <v>2024</v>
      </c>
      <c r="B232" t="s">
        <v>15</v>
      </c>
      <c r="C232" t="s">
        <v>24</v>
      </c>
      <c r="D232" t="s">
        <v>26</v>
      </c>
      <c r="E232">
        <v>422</v>
      </c>
      <c r="F232">
        <v>235</v>
      </c>
      <c r="G232">
        <v>99170</v>
      </c>
      <c r="H232">
        <v>21613</v>
      </c>
    </row>
    <row r="233" spans="1:8" x14ac:dyDescent="0.25">
      <c r="A233">
        <v>2024</v>
      </c>
      <c r="B233" t="s">
        <v>15</v>
      </c>
      <c r="C233" t="s">
        <v>24</v>
      </c>
      <c r="D233" t="s">
        <v>27</v>
      </c>
      <c r="E233">
        <v>240</v>
      </c>
      <c r="F233">
        <v>287</v>
      </c>
      <c r="G233">
        <v>68880</v>
      </c>
      <c r="H233">
        <v>15684</v>
      </c>
    </row>
    <row r="234" spans="1:8" x14ac:dyDescent="0.25">
      <c r="A234">
        <v>2024</v>
      </c>
      <c r="B234" t="s">
        <v>15</v>
      </c>
      <c r="C234" t="s">
        <v>24</v>
      </c>
      <c r="D234" t="s">
        <v>28</v>
      </c>
      <c r="E234">
        <v>98</v>
      </c>
      <c r="F234">
        <v>283</v>
      </c>
      <c r="G234">
        <v>27734</v>
      </c>
      <c r="H234">
        <v>3257</v>
      </c>
    </row>
    <row r="235" spans="1:8" x14ac:dyDescent="0.25">
      <c r="A235">
        <v>2024</v>
      </c>
      <c r="B235" t="s">
        <v>15</v>
      </c>
      <c r="C235" t="s">
        <v>24</v>
      </c>
      <c r="D235" t="s">
        <v>29</v>
      </c>
      <c r="E235">
        <v>174</v>
      </c>
      <c r="F235">
        <v>264</v>
      </c>
      <c r="G235">
        <v>45936</v>
      </c>
      <c r="H235">
        <v>9239</v>
      </c>
    </row>
    <row r="236" spans="1:8" x14ac:dyDescent="0.25">
      <c r="A236">
        <v>2024</v>
      </c>
      <c r="B236" t="s">
        <v>15</v>
      </c>
      <c r="C236" t="s">
        <v>24</v>
      </c>
      <c r="D236" t="s">
        <v>30</v>
      </c>
      <c r="E236">
        <v>256</v>
      </c>
      <c r="F236">
        <v>270</v>
      </c>
      <c r="G236">
        <v>69120</v>
      </c>
      <c r="H236">
        <v>8376</v>
      </c>
    </row>
    <row r="237" spans="1:8" x14ac:dyDescent="0.25">
      <c r="A237">
        <v>2024</v>
      </c>
      <c r="B237" t="s">
        <v>15</v>
      </c>
      <c r="C237" t="s">
        <v>25</v>
      </c>
      <c r="D237" t="s">
        <v>26</v>
      </c>
      <c r="E237">
        <v>93</v>
      </c>
      <c r="F237">
        <v>341</v>
      </c>
      <c r="G237">
        <v>31713</v>
      </c>
      <c r="H237">
        <v>3556</v>
      </c>
    </row>
    <row r="238" spans="1:8" x14ac:dyDescent="0.25">
      <c r="A238">
        <v>2024</v>
      </c>
      <c r="B238" t="s">
        <v>15</v>
      </c>
      <c r="C238" t="s">
        <v>25</v>
      </c>
      <c r="D238" t="s">
        <v>27</v>
      </c>
      <c r="E238">
        <v>262</v>
      </c>
      <c r="F238">
        <v>330</v>
      </c>
      <c r="G238">
        <v>86460</v>
      </c>
      <c r="H238">
        <v>17658</v>
      </c>
    </row>
    <row r="239" spans="1:8" x14ac:dyDescent="0.25">
      <c r="A239">
        <v>2024</v>
      </c>
      <c r="B239" t="s">
        <v>15</v>
      </c>
      <c r="C239" t="s">
        <v>25</v>
      </c>
      <c r="D239" t="s">
        <v>28</v>
      </c>
      <c r="E239">
        <v>308</v>
      </c>
      <c r="F239">
        <v>400</v>
      </c>
      <c r="G239">
        <v>123200</v>
      </c>
      <c r="H239">
        <v>24165</v>
      </c>
    </row>
    <row r="240" spans="1:8" x14ac:dyDescent="0.25">
      <c r="A240">
        <v>2024</v>
      </c>
      <c r="B240" t="s">
        <v>15</v>
      </c>
      <c r="C240" t="s">
        <v>25</v>
      </c>
      <c r="D240" t="s">
        <v>29</v>
      </c>
      <c r="E240">
        <v>112</v>
      </c>
      <c r="F240">
        <v>365</v>
      </c>
      <c r="G240">
        <v>40880</v>
      </c>
      <c r="H240">
        <v>7027</v>
      </c>
    </row>
    <row r="241" spans="1:8" x14ac:dyDescent="0.25">
      <c r="A241">
        <v>2024</v>
      </c>
      <c r="B241" t="s">
        <v>15</v>
      </c>
      <c r="C241" t="s">
        <v>25</v>
      </c>
      <c r="D241" t="s">
        <v>30</v>
      </c>
      <c r="E241">
        <v>398</v>
      </c>
      <c r="F241">
        <v>395</v>
      </c>
      <c r="G241">
        <v>157210</v>
      </c>
      <c r="H241">
        <v>27206</v>
      </c>
    </row>
    <row r="242" spans="1:8" x14ac:dyDescent="0.25">
      <c r="A242">
        <v>2024</v>
      </c>
      <c r="B242" t="s">
        <v>16</v>
      </c>
      <c r="C242" t="s">
        <v>20</v>
      </c>
      <c r="D242" t="s">
        <v>26</v>
      </c>
      <c r="E242">
        <v>203</v>
      </c>
      <c r="F242">
        <v>1349</v>
      </c>
      <c r="G242">
        <v>273847</v>
      </c>
      <c r="H242">
        <v>61451</v>
      </c>
    </row>
    <row r="243" spans="1:8" x14ac:dyDescent="0.25">
      <c r="A243">
        <v>2024</v>
      </c>
      <c r="B243" t="s">
        <v>16</v>
      </c>
      <c r="C243" t="s">
        <v>20</v>
      </c>
      <c r="D243" t="s">
        <v>27</v>
      </c>
      <c r="E243">
        <v>111</v>
      </c>
      <c r="F243">
        <v>1279</v>
      </c>
      <c r="G243">
        <v>141969</v>
      </c>
      <c r="H243">
        <v>16789</v>
      </c>
    </row>
    <row r="244" spans="1:8" x14ac:dyDescent="0.25">
      <c r="A244">
        <v>2024</v>
      </c>
      <c r="B244" t="s">
        <v>16</v>
      </c>
      <c r="C244" t="s">
        <v>20</v>
      </c>
      <c r="D244" t="s">
        <v>28</v>
      </c>
      <c r="E244">
        <v>111</v>
      </c>
      <c r="F244">
        <v>1149</v>
      </c>
      <c r="G244">
        <v>127539</v>
      </c>
      <c r="H244">
        <v>14283</v>
      </c>
    </row>
    <row r="245" spans="1:8" x14ac:dyDescent="0.25">
      <c r="A245">
        <v>2024</v>
      </c>
      <c r="B245" t="s">
        <v>16</v>
      </c>
      <c r="C245" t="s">
        <v>20</v>
      </c>
      <c r="D245" t="s">
        <v>29</v>
      </c>
      <c r="E245">
        <v>97</v>
      </c>
      <c r="F245">
        <v>1369</v>
      </c>
      <c r="G245">
        <v>132793</v>
      </c>
      <c r="H245">
        <v>21894</v>
      </c>
    </row>
    <row r="246" spans="1:8" x14ac:dyDescent="0.25">
      <c r="A246">
        <v>2024</v>
      </c>
      <c r="B246" t="s">
        <v>16</v>
      </c>
      <c r="C246" t="s">
        <v>20</v>
      </c>
      <c r="D246" t="s">
        <v>30</v>
      </c>
      <c r="E246">
        <v>236</v>
      </c>
      <c r="F246">
        <v>1360</v>
      </c>
      <c r="G246">
        <v>320960</v>
      </c>
      <c r="H246">
        <v>74275</v>
      </c>
    </row>
    <row r="247" spans="1:8" x14ac:dyDescent="0.25">
      <c r="A247">
        <v>2024</v>
      </c>
      <c r="B247" t="s">
        <v>16</v>
      </c>
      <c r="C247" t="s">
        <v>21</v>
      </c>
      <c r="D247" t="s">
        <v>26</v>
      </c>
      <c r="E247">
        <v>424</v>
      </c>
      <c r="F247">
        <v>890</v>
      </c>
      <c r="G247">
        <v>377360</v>
      </c>
      <c r="H247">
        <v>37754</v>
      </c>
    </row>
    <row r="248" spans="1:8" x14ac:dyDescent="0.25">
      <c r="A248">
        <v>2024</v>
      </c>
      <c r="B248" t="s">
        <v>16</v>
      </c>
      <c r="C248" t="s">
        <v>21</v>
      </c>
      <c r="D248" t="s">
        <v>27</v>
      </c>
      <c r="E248">
        <v>131</v>
      </c>
      <c r="F248">
        <v>843</v>
      </c>
      <c r="G248">
        <v>110433</v>
      </c>
      <c r="H248">
        <v>21813</v>
      </c>
    </row>
    <row r="249" spans="1:8" x14ac:dyDescent="0.25">
      <c r="A249">
        <v>2024</v>
      </c>
      <c r="B249" t="s">
        <v>16</v>
      </c>
      <c r="C249" t="s">
        <v>21</v>
      </c>
      <c r="D249" t="s">
        <v>28</v>
      </c>
      <c r="E249">
        <v>393</v>
      </c>
      <c r="F249">
        <v>732</v>
      </c>
      <c r="G249">
        <v>287676</v>
      </c>
      <c r="H249">
        <v>62458</v>
      </c>
    </row>
    <row r="250" spans="1:8" x14ac:dyDescent="0.25">
      <c r="A250">
        <v>2024</v>
      </c>
      <c r="B250" t="s">
        <v>16</v>
      </c>
      <c r="C250" t="s">
        <v>21</v>
      </c>
      <c r="D250" t="s">
        <v>29</v>
      </c>
      <c r="E250">
        <v>370</v>
      </c>
      <c r="F250">
        <v>762</v>
      </c>
      <c r="G250">
        <v>281940</v>
      </c>
      <c r="H250">
        <v>48688</v>
      </c>
    </row>
    <row r="251" spans="1:8" x14ac:dyDescent="0.25">
      <c r="A251">
        <v>2024</v>
      </c>
      <c r="B251" t="s">
        <v>16</v>
      </c>
      <c r="C251" t="s">
        <v>21</v>
      </c>
      <c r="D251" t="s">
        <v>30</v>
      </c>
      <c r="E251">
        <v>276</v>
      </c>
      <c r="F251">
        <v>731</v>
      </c>
      <c r="G251">
        <v>201756</v>
      </c>
      <c r="H251">
        <v>41209</v>
      </c>
    </row>
    <row r="252" spans="1:8" x14ac:dyDescent="0.25">
      <c r="A252">
        <v>2024</v>
      </c>
      <c r="B252" t="s">
        <v>16</v>
      </c>
      <c r="C252" t="s">
        <v>22</v>
      </c>
      <c r="D252" t="s">
        <v>26</v>
      </c>
      <c r="E252">
        <v>174</v>
      </c>
      <c r="F252">
        <v>113</v>
      </c>
      <c r="G252">
        <v>19662</v>
      </c>
      <c r="H252">
        <v>2186</v>
      </c>
    </row>
    <row r="253" spans="1:8" x14ac:dyDescent="0.25">
      <c r="A253">
        <v>2024</v>
      </c>
      <c r="B253" t="s">
        <v>16</v>
      </c>
      <c r="C253" t="s">
        <v>22</v>
      </c>
      <c r="D253" t="s">
        <v>27</v>
      </c>
      <c r="E253">
        <v>252</v>
      </c>
      <c r="F253">
        <v>117</v>
      </c>
      <c r="G253">
        <v>29484</v>
      </c>
      <c r="H253">
        <v>3395</v>
      </c>
    </row>
    <row r="254" spans="1:8" x14ac:dyDescent="0.25">
      <c r="A254">
        <v>2024</v>
      </c>
      <c r="B254" t="s">
        <v>16</v>
      </c>
      <c r="C254" t="s">
        <v>22</v>
      </c>
      <c r="D254" t="s">
        <v>28</v>
      </c>
      <c r="E254">
        <v>170</v>
      </c>
      <c r="F254">
        <v>128</v>
      </c>
      <c r="G254">
        <v>21760</v>
      </c>
      <c r="H254">
        <v>4193</v>
      </c>
    </row>
    <row r="255" spans="1:8" x14ac:dyDescent="0.25">
      <c r="A255">
        <v>2024</v>
      </c>
      <c r="B255" t="s">
        <v>16</v>
      </c>
      <c r="C255" t="s">
        <v>22</v>
      </c>
      <c r="D255" t="s">
        <v>29</v>
      </c>
      <c r="E255">
        <v>364</v>
      </c>
      <c r="F255">
        <v>137</v>
      </c>
      <c r="G255">
        <v>49868</v>
      </c>
      <c r="H255">
        <v>11075</v>
      </c>
    </row>
    <row r="256" spans="1:8" x14ac:dyDescent="0.25">
      <c r="A256">
        <v>2024</v>
      </c>
      <c r="B256" t="s">
        <v>16</v>
      </c>
      <c r="C256" t="s">
        <v>22</v>
      </c>
      <c r="D256" t="s">
        <v>30</v>
      </c>
      <c r="E256">
        <v>416</v>
      </c>
      <c r="F256">
        <v>113</v>
      </c>
      <c r="G256">
        <v>47008</v>
      </c>
      <c r="H256">
        <v>9324</v>
      </c>
    </row>
    <row r="257" spans="1:8" x14ac:dyDescent="0.25">
      <c r="A257">
        <v>2024</v>
      </c>
      <c r="B257" t="s">
        <v>16</v>
      </c>
      <c r="C257" t="s">
        <v>23</v>
      </c>
      <c r="D257" t="s">
        <v>26</v>
      </c>
      <c r="E257">
        <v>333</v>
      </c>
      <c r="F257">
        <v>648</v>
      </c>
      <c r="G257">
        <v>215784</v>
      </c>
      <c r="H257">
        <v>47216</v>
      </c>
    </row>
    <row r="258" spans="1:8" x14ac:dyDescent="0.25">
      <c r="A258">
        <v>2024</v>
      </c>
      <c r="B258" t="s">
        <v>16</v>
      </c>
      <c r="C258" t="s">
        <v>23</v>
      </c>
      <c r="D258" t="s">
        <v>27</v>
      </c>
      <c r="E258">
        <v>290</v>
      </c>
      <c r="F258">
        <v>607</v>
      </c>
      <c r="G258">
        <v>176030</v>
      </c>
      <c r="H258">
        <v>22741</v>
      </c>
    </row>
    <row r="259" spans="1:8" x14ac:dyDescent="0.25">
      <c r="A259">
        <v>2024</v>
      </c>
      <c r="B259" t="s">
        <v>16</v>
      </c>
      <c r="C259" t="s">
        <v>23</v>
      </c>
      <c r="D259" t="s">
        <v>28</v>
      </c>
      <c r="E259">
        <v>92</v>
      </c>
      <c r="F259">
        <v>618</v>
      </c>
      <c r="G259">
        <v>56856</v>
      </c>
      <c r="H259">
        <v>9793</v>
      </c>
    </row>
    <row r="260" spans="1:8" x14ac:dyDescent="0.25">
      <c r="A260">
        <v>2024</v>
      </c>
      <c r="B260" t="s">
        <v>16</v>
      </c>
      <c r="C260" t="s">
        <v>23</v>
      </c>
      <c r="D260" t="s">
        <v>29</v>
      </c>
      <c r="E260">
        <v>331</v>
      </c>
      <c r="F260">
        <v>598</v>
      </c>
      <c r="G260">
        <v>197938</v>
      </c>
      <c r="H260">
        <v>48410</v>
      </c>
    </row>
    <row r="261" spans="1:8" x14ac:dyDescent="0.25">
      <c r="A261">
        <v>2024</v>
      </c>
      <c r="B261" t="s">
        <v>16</v>
      </c>
      <c r="C261" t="s">
        <v>23</v>
      </c>
      <c r="D261" t="s">
        <v>30</v>
      </c>
      <c r="E261">
        <v>281</v>
      </c>
      <c r="F261">
        <v>602</v>
      </c>
      <c r="G261">
        <v>169162</v>
      </c>
      <c r="H261">
        <v>29129</v>
      </c>
    </row>
    <row r="262" spans="1:8" x14ac:dyDescent="0.25">
      <c r="A262">
        <v>2024</v>
      </c>
      <c r="B262" t="s">
        <v>16</v>
      </c>
      <c r="C262" t="s">
        <v>24</v>
      </c>
      <c r="D262" t="s">
        <v>26</v>
      </c>
      <c r="E262">
        <v>349</v>
      </c>
      <c r="F262">
        <v>274</v>
      </c>
      <c r="G262">
        <v>95626</v>
      </c>
      <c r="H262">
        <v>17912</v>
      </c>
    </row>
    <row r="263" spans="1:8" x14ac:dyDescent="0.25">
      <c r="A263">
        <v>2024</v>
      </c>
      <c r="B263" t="s">
        <v>16</v>
      </c>
      <c r="C263" t="s">
        <v>24</v>
      </c>
      <c r="D263" t="s">
        <v>27</v>
      </c>
      <c r="E263">
        <v>422</v>
      </c>
      <c r="F263">
        <v>236</v>
      </c>
      <c r="G263">
        <v>99592</v>
      </c>
      <c r="H263">
        <v>19205</v>
      </c>
    </row>
    <row r="264" spans="1:8" x14ac:dyDescent="0.25">
      <c r="A264">
        <v>2024</v>
      </c>
      <c r="B264" t="s">
        <v>16</v>
      </c>
      <c r="C264" t="s">
        <v>24</v>
      </c>
      <c r="D264" t="s">
        <v>28</v>
      </c>
      <c r="E264">
        <v>98</v>
      </c>
      <c r="F264">
        <v>225</v>
      </c>
      <c r="G264">
        <v>22050</v>
      </c>
      <c r="H264">
        <v>3002</v>
      </c>
    </row>
    <row r="265" spans="1:8" x14ac:dyDescent="0.25">
      <c r="A265">
        <v>2024</v>
      </c>
      <c r="B265" t="s">
        <v>16</v>
      </c>
      <c r="C265" t="s">
        <v>24</v>
      </c>
      <c r="D265" t="s">
        <v>29</v>
      </c>
      <c r="E265">
        <v>313</v>
      </c>
      <c r="F265">
        <v>237</v>
      </c>
      <c r="G265">
        <v>74181</v>
      </c>
      <c r="H265">
        <v>8137</v>
      </c>
    </row>
    <row r="266" spans="1:8" x14ac:dyDescent="0.25">
      <c r="A266">
        <v>2024</v>
      </c>
      <c r="B266" t="s">
        <v>16</v>
      </c>
      <c r="C266" t="s">
        <v>24</v>
      </c>
      <c r="D266" t="s">
        <v>30</v>
      </c>
      <c r="E266">
        <v>256</v>
      </c>
      <c r="F266">
        <v>255</v>
      </c>
      <c r="G266">
        <v>65280</v>
      </c>
      <c r="H266">
        <v>7602</v>
      </c>
    </row>
    <row r="267" spans="1:8" x14ac:dyDescent="0.25">
      <c r="A267">
        <v>2024</v>
      </c>
      <c r="B267" t="s">
        <v>16</v>
      </c>
      <c r="C267" t="s">
        <v>25</v>
      </c>
      <c r="D267" t="s">
        <v>26</v>
      </c>
      <c r="E267">
        <v>287</v>
      </c>
      <c r="F267">
        <v>371</v>
      </c>
      <c r="G267">
        <v>106477</v>
      </c>
      <c r="H267">
        <v>18622</v>
      </c>
    </row>
    <row r="268" spans="1:8" x14ac:dyDescent="0.25">
      <c r="A268">
        <v>2024</v>
      </c>
      <c r="B268" t="s">
        <v>16</v>
      </c>
      <c r="C268" t="s">
        <v>25</v>
      </c>
      <c r="D268" t="s">
        <v>27</v>
      </c>
      <c r="E268">
        <v>360</v>
      </c>
      <c r="F268">
        <v>323</v>
      </c>
      <c r="G268">
        <v>116280</v>
      </c>
      <c r="H268">
        <v>20143</v>
      </c>
    </row>
    <row r="269" spans="1:8" x14ac:dyDescent="0.25">
      <c r="A269">
        <v>2024</v>
      </c>
      <c r="B269" t="s">
        <v>16</v>
      </c>
      <c r="C269" t="s">
        <v>25</v>
      </c>
      <c r="D269" t="s">
        <v>28</v>
      </c>
      <c r="E269">
        <v>295</v>
      </c>
      <c r="F269">
        <v>390</v>
      </c>
      <c r="G269">
        <v>115050</v>
      </c>
      <c r="H269">
        <v>15706</v>
      </c>
    </row>
    <row r="270" spans="1:8" x14ac:dyDescent="0.25">
      <c r="A270">
        <v>2024</v>
      </c>
      <c r="B270" t="s">
        <v>16</v>
      </c>
      <c r="C270" t="s">
        <v>25</v>
      </c>
      <c r="D270" t="s">
        <v>29</v>
      </c>
      <c r="E270">
        <v>173</v>
      </c>
      <c r="F270">
        <v>356</v>
      </c>
      <c r="G270">
        <v>61588</v>
      </c>
      <c r="H270">
        <v>9631</v>
      </c>
    </row>
    <row r="271" spans="1:8" x14ac:dyDescent="0.25">
      <c r="A271">
        <v>2024</v>
      </c>
      <c r="B271" t="s">
        <v>16</v>
      </c>
      <c r="C271" t="s">
        <v>25</v>
      </c>
      <c r="D271" t="s">
        <v>30</v>
      </c>
      <c r="E271">
        <v>130</v>
      </c>
      <c r="F271">
        <v>383</v>
      </c>
      <c r="G271">
        <v>49790</v>
      </c>
      <c r="H271">
        <v>11641</v>
      </c>
    </row>
    <row r="272" spans="1:8" x14ac:dyDescent="0.25">
      <c r="A272">
        <v>2024</v>
      </c>
      <c r="B272" t="s">
        <v>17</v>
      </c>
      <c r="C272" t="s">
        <v>20</v>
      </c>
      <c r="D272" t="s">
        <v>26</v>
      </c>
      <c r="E272">
        <v>199</v>
      </c>
      <c r="F272">
        <v>1110</v>
      </c>
      <c r="G272">
        <v>220890</v>
      </c>
      <c r="H272">
        <v>43913</v>
      </c>
    </row>
    <row r="273" spans="1:8" x14ac:dyDescent="0.25">
      <c r="A273">
        <v>2024</v>
      </c>
      <c r="B273" t="s">
        <v>17</v>
      </c>
      <c r="C273" t="s">
        <v>20</v>
      </c>
      <c r="D273" t="s">
        <v>27</v>
      </c>
      <c r="E273">
        <v>225</v>
      </c>
      <c r="F273">
        <v>1322</v>
      </c>
      <c r="G273">
        <v>297450</v>
      </c>
      <c r="H273">
        <v>33154</v>
      </c>
    </row>
    <row r="274" spans="1:8" x14ac:dyDescent="0.25">
      <c r="A274">
        <v>2024</v>
      </c>
      <c r="B274" t="s">
        <v>17</v>
      </c>
      <c r="C274" t="s">
        <v>20</v>
      </c>
      <c r="D274" t="s">
        <v>28</v>
      </c>
      <c r="E274">
        <v>190</v>
      </c>
      <c r="F274">
        <v>1332</v>
      </c>
      <c r="G274">
        <v>253080</v>
      </c>
      <c r="H274">
        <v>26766</v>
      </c>
    </row>
    <row r="275" spans="1:8" x14ac:dyDescent="0.25">
      <c r="A275">
        <v>2024</v>
      </c>
      <c r="B275" t="s">
        <v>17</v>
      </c>
      <c r="C275" t="s">
        <v>20</v>
      </c>
      <c r="D275" t="s">
        <v>29</v>
      </c>
      <c r="E275">
        <v>336</v>
      </c>
      <c r="F275">
        <v>1218</v>
      </c>
      <c r="G275">
        <v>409248</v>
      </c>
      <c r="H275">
        <v>80040</v>
      </c>
    </row>
    <row r="276" spans="1:8" x14ac:dyDescent="0.25">
      <c r="A276">
        <v>2024</v>
      </c>
      <c r="B276" t="s">
        <v>17</v>
      </c>
      <c r="C276" t="s">
        <v>20</v>
      </c>
      <c r="D276" t="s">
        <v>30</v>
      </c>
      <c r="E276">
        <v>399</v>
      </c>
      <c r="F276">
        <v>1195</v>
      </c>
      <c r="G276">
        <v>476805</v>
      </c>
      <c r="H276">
        <v>79873</v>
      </c>
    </row>
    <row r="277" spans="1:8" x14ac:dyDescent="0.25">
      <c r="A277">
        <v>2024</v>
      </c>
      <c r="B277" t="s">
        <v>17</v>
      </c>
      <c r="C277" t="s">
        <v>21</v>
      </c>
      <c r="D277" t="s">
        <v>26</v>
      </c>
      <c r="E277">
        <v>171</v>
      </c>
      <c r="F277">
        <v>897</v>
      </c>
      <c r="G277">
        <v>153387</v>
      </c>
      <c r="H277">
        <v>25706</v>
      </c>
    </row>
    <row r="278" spans="1:8" x14ac:dyDescent="0.25">
      <c r="A278">
        <v>2024</v>
      </c>
      <c r="B278" t="s">
        <v>17</v>
      </c>
      <c r="C278" t="s">
        <v>21</v>
      </c>
      <c r="D278" t="s">
        <v>27</v>
      </c>
      <c r="E278">
        <v>272</v>
      </c>
      <c r="F278">
        <v>750</v>
      </c>
      <c r="G278">
        <v>204000</v>
      </c>
      <c r="H278">
        <v>42965</v>
      </c>
    </row>
    <row r="279" spans="1:8" x14ac:dyDescent="0.25">
      <c r="A279">
        <v>2024</v>
      </c>
      <c r="B279" t="s">
        <v>17</v>
      </c>
      <c r="C279" t="s">
        <v>21</v>
      </c>
      <c r="D279" t="s">
        <v>28</v>
      </c>
      <c r="E279">
        <v>179</v>
      </c>
      <c r="F279">
        <v>856</v>
      </c>
      <c r="G279">
        <v>153224</v>
      </c>
      <c r="H279">
        <v>16280</v>
      </c>
    </row>
    <row r="280" spans="1:8" x14ac:dyDescent="0.25">
      <c r="A280">
        <v>2024</v>
      </c>
      <c r="B280" t="s">
        <v>17</v>
      </c>
      <c r="C280" t="s">
        <v>21</v>
      </c>
      <c r="D280" t="s">
        <v>29</v>
      </c>
      <c r="E280">
        <v>179</v>
      </c>
      <c r="F280">
        <v>863</v>
      </c>
      <c r="G280">
        <v>154477</v>
      </c>
      <c r="H280">
        <v>17118</v>
      </c>
    </row>
    <row r="281" spans="1:8" x14ac:dyDescent="0.25">
      <c r="A281">
        <v>2024</v>
      </c>
      <c r="B281" t="s">
        <v>17</v>
      </c>
      <c r="C281" t="s">
        <v>21</v>
      </c>
      <c r="D281" t="s">
        <v>30</v>
      </c>
      <c r="E281">
        <v>250</v>
      </c>
      <c r="F281">
        <v>727</v>
      </c>
      <c r="G281">
        <v>181750</v>
      </c>
      <c r="H281">
        <v>32040</v>
      </c>
    </row>
    <row r="282" spans="1:8" x14ac:dyDescent="0.25">
      <c r="A282">
        <v>2024</v>
      </c>
      <c r="B282" t="s">
        <v>17</v>
      </c>
      <c r="C282" t="s">
        <v>22</v>
      </c>
      <c r="D282" t="s">
        <v>26</v>
      </c>
      <c r="E282">
        <v>336</v>
      </c>
      <c r="F282">
        <v>118</v>
      </c>
      <c r="G282">
        <v>39648</v>
      </c>
      <c r="H282">
        <v>5728</v>
      </c>
    </row>
    <row r="283" spans="1:8" x14ac:dyDescent="0.25">
      <c r="A283">
        <v>2024</v>
      </c>
      <c r="B283" t="s">
        <v>17</v>
      </c>
      <c r="C283" t="s">
        <v>22</v>
      </c>
      <c r="D283" t="s">
        <v>27</v>
      </c>
      <c r="E283">
        <v>236</v>
      </c>
      <c r="F283">
        <v>137</v>
      </c>
      <c r="G283">
        <v>32332</v>
      </c>
      <c r="H283">
        <v>7803</v>
      </c>
    </row>
    <row r="284" spans="1:8" x14ac:dyDescent="0.25">
      <c r="A284">
        <v>2024</v>
      </c>
      <c r="B284" t="s">
        <v>17</v>
      </c>
      <c r="C284" t="s">
        <v>22</v>
      </c>
      <c r="D284" t="s">
        <v>28</v>
      </c>
      <c r="E284">
        <v>115</v>
      </c>
      <c r="F284">
        <v>118</v>
      </c>
      <c r="G284">
        <v>13570</v>
      </c>
      <c r="H284">
        <v>2195</v>
      </c>
    </row>
    <row r="285" spans="1:8" x14ac:dyDescent="0.25">
      <c r="A285">
        <v>2024</v>
      </c>
      <c r="B285" t="s">
        <v>17</v>
      </c>
      <c r="C285" t="s">
        <v>22</v>
      </c>
      <c r="D285" t="s">
        <v>29</v>
      </c>
      <c r="E285">
        <v>368</v>
      </c>
      <c r="F285">
        <v>127</v>
      </c>
      <c r="G285">
        <v>46736</v>
      </c>
      <c r="H285">
        <v>10032</v>
      </c>
    </row>
    <row r="286" spans="1:8" x14ac:dyDescent="0.25">
      <c r="A286">
        <v>2024</v>
      </c>
      <c r="B286" t="s">
        <v>17</v>
      </c>
      <c r="C286" t="s">
        <v>22</v>
      </c>
      <c r="D286" t="s">
        <v>30</v>
      </c>
      <c r="E286">
        <v>432</v>
      </c>
      <c r="F286">
        <v>120</v>
      </c>
      <c r="G286">
        <v>51840</v>
      </c>
      <c r="H286">
        <v>5826</v>
      </c>
    </row>
    <row r="287" spans="1:8" x14ac:dyDescent="0.25">
      <c r="A287">
        <v>2024</v>
      </c>
      <c r="B287" t="s">
        <v>17</v>
      </c>
      <c r="C287" t="s">
        <v>23</v>
      </c>
      <c r="D287" t="s">
        <v>26</v>
      </c>
      <c r="E287">
        <v>323</v>
      </c>
      <c r="F287">
        <v>674</v>
      </c>
      <c r="G287">
        <v>217702</v>
      </c>
      <c r="H287">
        <v>47322</v>
      </c>
    </row>
    <row r="288" spans="1:8" x14ac:dyDescent="0.25">
      <c r="A288">
        <v>2024</v>
      </c>
      <c r="B288" t="s">
        <v>17</v>
      </c>
      <c r="C288" t="s">
        <v>23</v>
      </c>
      <c r="D288" t="s">
        <v>27</v>
      </c>
      <c r="E288">
        <v>138</v>
      </c>
      <c r="F288">
        <v>578</v>
      </c>
      <c r="G288">
        <v>79764</v>
      </c>
      <c r="H288">
        <v>11095</v>
      </c>
    </row>
    <row r="289" spans="1:8" x14ac:dyDescent="0.25">
      <c r="A289">
        <v>2024</v>
      </c>
      <c r="B289" t="s">
        <v>17</v>
      </c>
      <c r="C289" t="s">
        <v>23</v>
      </c>
      <c r="D289" t="s">
        <v>28</v>
      </c>
      <c r="E289">
        <v>199</v>
      </c>
      <c r="F289">
        <v>636</v>
      </c>
      <c r="G289">
        <v>126564</v>
      </c>
      <c r="H289">
        <v>22723</v>
      </c>
    </row>
    <row r="290" spans="1:8" x14ac:dyDescent="0.25">
      <c r="A290">
        <v>2024</v>
      </c>
      <c r="B290" t="s">
        <v>17</v>
      </c>
      <c r="C290" t="s">
        <v>23</v>
      </c>
      <c r="D290" t="s">
        <v>29</v>
      </c>
      <c r="E290">
        <v>291</v>
      </c>
      <c r="F290">
        <v>674</v>
      </c>
      <c r="G290">
        <v>196134</v>
      </c>
      <c r="H290">
        <v>29093</v>
      </c>
    </row>
    <row r="291" spans="1:8" x14ac:dyDescent="0.25">
      <c r="A291">
        <v>2024</v>
      </c>
      <c r="B291" t="s">
        <v>17</v>
      </c>
      <c r="C291" t="s">
        <v>23</v>
      </c>
      <c r="D291" t="s">
        <v>30</v>
      </c>
      <c r="E291">
        <v>263</v>
      </c>
      <c r="F291">
        <v>583</v>
      </c>
      <c r="G291">
        <v>153329</v>
      </c>
      <c r="H291">
        <v>37871</v>
      </c>
    </row>
    <row r="292" spans="1:8" x14ac:dyDescent="0.25">
      <c r="A292">
        <v>2024</v>
      </c>
      <c r="B292" t="s">
        <v>17</v>
      </c>
      <c r="C292" t="s">
        <v>24</v>
      </c>
      <c r="D292" t="s">
        <v>26</v>
      </c>
      <c r="E292">
        <v>376</v>
      </c>
      <c r="F292">
        <v>261</v>
      </c>
      <c r="G292">
        <v>98136</v>
      </c>
      <c r="H292">
        <v>20825</v>
      </c>
    </row>
    <row r="293" spans="1:8" x14ac:dyDescent="0.25">
      <c r="A293">
        <v>2024</v>
      </c>
      <c r="B293" t="s">
        <v>17</v>
      </c>
      <c r="C293" t="s">
        <v>24</v>
      </c>
      <c r="D293" t="s">
        <v>27</v>
      </c>
      <c r="E293">
        <v>397</v>
      </c>
      <c r="F293">
        <v>263</v>
      </c>
      <c r="G293">
        <v>104411</v>
      </c>
      <c r="H293">
        <v>12894</v>
      </c>
    </row>
    <row r="294" spans="1:8" x14ac:dyDescent="0.25">
      <c r="A294">
        <v>2024</v>
      </c>
      <c r="B294" t="s">
        <v>17</v>
      </c>
      <c r="C294" t="s">
        <v>24</v>
      </c>
      <c r="D294" t="s">
        <v>28</v>
      </c>
      <c r="E294">
        <v>96</v>
      </c>
      <c r="F294">
        <v>246</v>
      </c>
      <c r="G294">
        <v>23616</v>
      </c>
      <c r="H294">
        <v>5649</v>
      </c>
    </row>
    <row r="295" spans="1:8" x14ac:dyDescent="0.25">
      <c r="A295">
        <v>2024</v>
      </c>
      <c r="B295" t="s">
        <v>17</v>
      </c>
      <c r="C295" t="s">
        <v>24</v>
      </c>
      <c r="D295" t="s">
        <v>29</v>
      </c>
      <c r="E295">
        <v>283</v>
      </c>
      <c r="F295">
        <v>230</v>
      </c>
      <c r="G295">
        <v>65090</v>
      </c>
      <c r="H295">
        <v>10180</v>
      </c>
    </row>
    <row r="296" spans="1:8" x14ac:dyDescent="0.25">
      <c r="A296">
        <v>2024</v>
      </c>
      <c r="B296" t="s">
        <v>17</v>
      </c>
      <c r="C296" t="s">
        <v>24</v>
      </c>
      <c r="D296" t="s">
        <v>30</v>
      </c>
      <c r="E296">
        <v>219</v>
      </c>
      <c r="F296">
        <v>249</v>
      </c>
      <c r="G296">
        <v>54531</v>
      </c>
      <c r="H296">
        <v>6791</v>
      </c>
    </row>
    <row r="297" spans="1:8" x14ac:dyDescent="0.25">
      <c r="A297">
        <v>2024</v>
      </c>
      <c r="B297" t="s">
        <v>17</v>
      </c>
      <c r="C297" t="s">
        <v>25</v>
      </c>
      <c r="D297" t="s">
        <v>26</v>
      </c>
      <c r="E297">
        <v>316</v>
      </c>
      <c r="F297">
        <v>374</v>
      </c>
      <c r="G297">
        <v>118184</v>
      </c>
      <c r="H297">
        <v>20612</v>
      </c>
    </row>
    <row r="298" spans="1:8" x14ac:dyDescent="0.25">
      <c r="A298">
        <v>2024</v>
      </c>
      <c r="B298" t="s">
        <v>17</v>
      </c>
      <c r="C298" t="s">
        <v>25</v>
      </c>
      <c r="D298" t="s">
        <v>27</v>
      </c>
      <c r="E298">
        <v>207</v>
      </c>
      <c r="F298">
        <v>371</v>
      </c>
      <c r="G298">
        <v>76797</v>
      </c>
      <c r="H298">
        <v>10973</v>
      </c>
    </row>
    <row r="299" spans="1:8" x14ac:dyDescent="0.25">
      <c r="A299">
        <v>2024</v>
      </c>
      <c r="B299" t="s">
        <v>17</v>
      </c>
      <c r="C299" t="s">
        <v>25</v>
      </c>
      <c r="D299" t="s">
        <v>28</v>
      </c>
      <c r="E299">
        <v>120</v>
      </c>
      <c r="F299">
        <v>342</v>
      </c>
      <c r="G299">
        <v>41040</v>
      </c>
      <c r="H299">
        <v>9516</v>
      </c>
    </row>
    <row r="300" spans="1:8" x14ac:dyDescent="0.25">
      <c r="A300">
        <v>2024</v>
      </c>
      <c r="B300" t="s">
        <v>17</v>
      </c>
      <c r="C300" t="s">
        <v>25</v>
      </c>
      <c r="D300" t="s">
        <v>29</v>
      </c>
      <c r="E300">
        <v>375</v>
      </c>
      <c r="F300">
        <v>395</v>
      </c>
      <c r="G300">
        <v>148125</v>
      </c>
      <c r="H300">
        <v>20416</v>
      </c>
    </row>
    <row r="301" spans="1:8" x14ac:dyDescent="0.25">
      <c r="A301">
        <v>2024</v>
      </c>
      <c r="B301" t="s">
        <v>17</v>
      </c>
      <c r="C301" t="s">
        <v>25</v>
      </c>
      <c r="D301" t="s">
        <v>30</v>
      </c>
      <c r="E301">
        <v>246</v>
      </c>
      <c r="F301">
        <v>400</v>
      </c>
      <c r="G301">
        <v>98400</v>
      </c>
      <c r="H301">
        <v>20883</v>
      </c>
    </row>
    <row r="302" spans="1:8" x14ac:dyDescent="0.25">
      <c r="A302">
        <v>2024</v>
      </c>
      <c r="B302" t="s">
        <v>18</v>
      </c>
      <c r="C302" t="s">
        <v>20</v>
      </c>
      <c r="D302" t="s">
        <v>26</v>
      </c>
      <c r="E302">
        <v>349</v>
      </c>
      <c r="F302">
        <v>1312</v>
      </c>
      <c r="G302">
        <v>457888</v>
      </c>
      <c r="H302">
        <v>90856</v>
      </c>
    </row>
    <row r="303" spans="1:8" x14ac:dyDescent="0.25">
      <c r="A303">
        <v>2024</v>
      </c>
      <c r="B303" t="s">
        <v>18</v>
      </c>
      <c r="C303" t="s">
        <v>20</v>
      </c>
      <c r="D303" t="s">
        <v>27</v>
      </c>
      <c r="E303">
        <v>311</v>
      </c>
      <c r="F303">
        <v>1176</v>
      </c>
      <c r="G303">
        <v>365736</v>
      </c>
      <c r="H303">
        <v>77893</v>
      </c>
    </row>
    <row r="304" spans="1:8" x14ac:dyDescent="0.25">
      <c r="A304">
        <v>2024</v>
      </c>
      <c r="B304" t="s">
        <v>18</v>
      </c>
      <c r="C304" t="s">
        <v>20</v>
      </c>
      <c r="D304" t="s">
        <v>28</v>
      </c>
      <c r="E304">
        <v>111</v>
      </c>
      <c r="F304">
        <v>1241</v>
      </c>
      <c r="G304">
        <v>137751</v>
      </c>
      <c r="H304">
        <v>28816</v>
      </c>
    </row>
    <row r="305" spans="1:8" x14ac:dyDescent="0.25">
      <c r="A305">
        <v>2024</v>
      </c>
      <c r="B305" t="s">
        <v>18</v>
      </c>
      <c r="C305" t="s">
        <v>20</v>
      </c>
      <c r="D305" t="s">
        <v>29</v>
      </c>
      <c r="E305">
        <v>371</v>
      </c>
      <c r="F305">
        <v>1119</v>
      </c>
      <c r="G305">
        <v>415149</v>
      </c>
      <c r="H305">
        <v>86723</v>
      </c>
    </row>
    <row r="306" spans="1:8" x14ac:dyDescent="0.25">
      <c r="A306">
        <v>2024</v>
      </c>
      <c r="B306" t="s">
        <v>18</v>
      </c>
      <c r="C306" t="s">
        <v>20</v>
      </c>
      <c r="D306" t="s">
        <v>30</v>
      </c>
      <c r="E306">
        <v>399</v>
      </c>
      <c r="F306">
        <v>1369</v>
      </c>
      <c r="G306">
        <v>546231</v>
      </c>
      <c r="H306">
        <v>94639</v>
      </c>
    </row>
    <row r="307" spans="1:8" x14ac:dyDescent="0.25">
      <c r="A307">
        <v>2024</v>
      </c>
      <c r="B307" t="s">
        <v>18</v>
      </c>
      <c r="C307" t="s">
        <v>21</v>
      </c>
      <c r="D307" t="s">
        <v>26</v>
      </c>
      <c r="E307">
        <v>184</v>
      </c>
      <c r="F307">
        <v>788</v>
      </c>
      <c r="G307">
        <v>144992</v>
      </c>
      <c r="H307">
        <v>23490</v>
      </c>
    </row>
    <row r="308" spans="1:8" x14ac:dyDescent="0.25">
      <c r="A308">
        <v>2024</v>
      </c>
      <c r="B308" t="s">
        <v>18</v>
      </c>
      <c r="C308" t="s">
        <v>21</v>
      </c>
      <c r="D308" t="s">
        <v>27</v>
      </c>
      <c r="E308">
        <v>295</v>
      </c>
      <c r="F308">
        <v>868</v>
      </c>
      <c r="G308">
        <v>256060</v>
      </c>
      <c r="H308">
        <v>49110</v>
      </c>
    </row>
    <row r="309" spans="1:8" x14ac:dyDescent="0.25">
      <c r="A309">
        <v>2024</v>
      </c>
      <c r="B309" t="s">
        <v>18</v>
      </c>
      <c r="C309" t="s">
        <v>21</v>
      </c>
      <c r="D309" t="s">
        <v>28</v>
      </c>
      <c r="E309">
        <v>217</v>
      </c>
      <c r="F309">
        <v>833</v>
      </c>
      <c r="G309">
        <v>180761</v>
      </c>
      <c r="H309">
        <v>36754</v>
      </c>
    </row>
    <row r="310" spans="1:8" x14ac:dyDescent="0.25">
      <c r="A310">
        <v>2024</v>
      </c>
      <c r="B310" t="s">
        <v>18</v>
      </c>
      <c r="C310" t="s">
        <v>21</v>
      </c>
      <c r="D310" t="s">
        <v>29</v>
      </c>
      <c r="E310">
        <v>412</v>
      </c>
      <c r="F310">
        <v>835</v>
      </c>
      <c r="G310">
        <v>344020</v>
      </c>
      <c r="H310">
        <v>79664</v>
      </c>
    </row>
    <row r="311" spans="1:8" x14ac:dyDescent="0.25">
      <c r="A311">
        <v>2024</v>
      </c>
      <c r="B311" t="s">
        <v>18</v>
      </c>
      <c r="C311" t="s">
        <v>21</v>
      </c>
      <c r="D311" t="s">
        <v>30</v>
      </c>
      <c r="E311">
        <v>339</v>
      </c>
      <c r="F311">
        <v>752</v>
      </c>
      <c r="G311">
        <v>254928</v>
      </c>
      <c r="H311">
        <v>43142</v>
      </c>
    </row>
    <row r="312" spans="1:8" x14ac:dyDescent="0.25">
      <c r="A312">
        <v>2024</v>
      </c>
      <c r="B312" t="s">
        <v>18</v>
      </c>
      <c r="C312" t="s">
        <v>22</v>
      </c>
      <c r="D312" t="s">
        <v>26</v>
      </c>
      <c r="E312">
        <v>246</v>
      </c>
      <c r="F312">
        <v>132</v>
      </c>
      <c r="G312">
        <v>32472</v>
      </c>
      <c r="H312">
        <v>6859</v>
      </c>
    </row>
    <row r="313" spans="1:8" x14ac:dyDescent="0.25">
      <c r="A313">
        <v>2024</v>
      </c>
      <c r="B313" t="s">
        <v>18</v>
      </c>
      <c r="C313" t="s">
        <v>22</v>
      </c>
      <c r="D313" t="s">
        <v>27</v>
      </c>
      <c r="E313">
        <v>90</v>
      </c>
      <c r="F313">
        <v>137</v>
      </c>
      <c r="G313">
        <v>12330</v>
      </c>
      <c r="H313">
        <v>1416</v>
      </c>
    </row>
    <row r="314" spans="1:8" x14ac:dyDescent="0.25">
      <c r="A314">
        <v>2024</v>
      </c>
      <c r="B314" t="s">
        <v>18</v>
      </c>
      <c r="C314" t="s">
        <v>22</v>
      </c>
      <c r="D314" t="s">
        <v>28</v>
      </c>
      <c r="E314">
        <v>334</v>
      </c>
      <c r="F314">
        <v>134</v>
      </c>
      <c r="G314">
        <v>44756</v>
      </c>
      <c r="H314">
        <v>8890</v>
      </c>
    </row>
    <row r="315" spans="1:8" x14ac:dyDescent="0.25">
      <c r="A315">
        <v>2024</v>
      </c>
      <c r="B315" t="s">
        <v>18</v>
      </c>
      <c r="C315" t="s">
        <v>22</v>
      </c>
      <c r="D315" t="s">
        <v>29</v>
      </c>
      <c r="E315">
        <v>98</v>
      </c>
      <c r="F315">
        <v>130</v>
      </c>
      <c r="G315">
        <v>12740</v>
      </c>
      <c r="H315">
        <v>2831</v>
      </c>
    </row>
    <row r="316" spans="1:8" x14ac:dyDescent="0.25">
      <c r="A316">
        <v>2024</v>
      </c>
      <c r="B316" t="s">
        <v>18</v>
      </c>
      <c r="C316" t="s">
        <v>22</v>
      </c>
      <c r="D316" t="s">
        <v>30</v>
      </c>
      <c r="E316">
        <v>328</v>
      </c>
      <c r="F316">
        <v>113</v>
      </c>
      <c r="G316">
        <v>37064</v>
      </c>
      <c r="H316">
        <v>5682</v>
      </c>
    </row>
    <row r="317" spans="1:8" x14ac:dyDescent="0.25">
      <c r="A317">
        <v>2024</v>
      </c>
      <c r="B317" t="s">
        <v>18</v>
      </c>
      <c r="C317" t="s">
        <v>23</v>
      </c>
      <c r="D317" t="s">
        <v>26</v>
      </c>
      <c r="E317">
        <v>101</v>
      </c>
      <c r="F317">
        <v>620</v>
      </c>
      <c r="G317">
        <v>62620</v>
      </c>
      <c r="H317">
        <v>11185</v>
      </c>
    </row>
    <row r="318" spans="1:8" x14ac:dyDescent="0.25">
      <c r="A318">
        <v>2024</v>
      </c>
      <c r="B318" t="s">
        <v>18</v>
      </c>
      <c r="C318" t="s">
        <v>23</v>
      </c>
      <c r="D318" t="s">
        <v>27</v>
      </c>
      <c r="E318">
        <v>345</v>
      </c>
      <c r="F318">
        <v>654</v>
      </c>
      <c r="G318">
        <v>225630</v>
      </c>
      <c r="H318">
        <v>23758</v>
      </c>
    </row>
    <row r="319" spans="1:8" x14ac:dyDescent="0.25">
      <c r="A319">
        <v>2024</v>
      </c>
      <c r="B319" t="s">
        <v>18</v>
      </c>
      <c r="C319" t="s">
        <v>23</v>
      </c>
      <c r="D319" t="s">
        <v>28</v>
      </c>
      <c r="E319">
        <v>317</v>
      </c>
      <c r="F319">
        <v>541</v>
      </c>
      <c r="G319">
        <v>171497</v>
      </c>
      <c r="H319">
        <v>36431</v>
      </c>
    </row>
    <row r="320" spans="1:8" x14ac:dyDescent="0.25">
      <c r="A320">
        <v>2024</v>
      </c>
      <c r="B320" t="s">
        <v>18</v>
      </c>
      <c r="C320" t="s">
        <v>23</v>
      </c>
      <c r="D320" t="s">
        <v>29</v>
      </c>
      <c r="E320">
        <v>109</v>
      </c>
      <c r="F320">
        <v>589</v>
      </c>
      <c r="G320">
        <v>64201</v>
      </c>
      <c r="H320">
        <v>7853</v>
      </c>
    </row>
    <row r="321" spans="1:8" x14ac:dyDescent="0.25">
      <c r="A321">
        <v>2024</v>
      </c>
      <c r="B321" t="s">
        <v>18</v>
      </c>
      <c r="C321" t="s">
        <v>23</v>
      </c>
      <c r="D321" t="s">
        <v>30</v>
      </c>
      <c r="E321">
        <v>164</v>
      </c>
      <c r="F321">
        <v>671</v>
      </c>
      <c r="G321">
        <v>110044</v>
      </c>
      <c r="H321">
        <v>27450</v>
      </c>
    </row>
    <row r="322" spans="1:8" x14ac:dyDescent="0.25">
      <c r="A322">
        <v>2024</v>
      </c>
      <c r="B322" t="s">
        <v>18</v>
      </c>
      <c r="C322" t="s">
        <v>24</v>
      </c>
      <c r="D322" t="s">
        <v>26</v>
      </c>
      <c r="E322">
        <v>232</v>
      </c>
      <c r="F322">
        <v>249</v>
      </c>
      <c r="G322">
        <v>57768</v>
      </c>
      <c r="H322">
        <v>11351</v>
      </c>
    </row>
    <row r="323" spans="1:8" x14ac:dyDescent="0.25">
      <c r="A323">
        <v>2024</v>
      </c>
      <c r="B323" t="s">
        <v>18</v>
      </c>
      <c r="C323" t="s">
        <v>24</v>
      </c>
      <c r="D323" t="s">
        <v>27</v>
      </c>
      <c r="E323">
        <v>113</v>
      </c>
      <c r="F323">
        <v>238</v>
      </c>
      <c r="G323">
        <v>26894</v>
      </c>
      <c r="H323">
        <v>3245</v>
      </c>
    </row>
    <row r="324" spans="1:8" x14ac:dyDescent="0.25">
      <c r="A324">
        <v>2024</v>
      </c>
      <c r="B324" t="s">
        <v>18</v>
      </c>
      <c r="C324" t="s">
        <v>24</v>
      </c>
      <c r="D324" t="s">
        <v>28</v>
      </c>
      <c r="E324">
        <v>341</v>
      </c>
      <c r="F324">
        <v>250</v>
      </c>
      <c r="G324">
        <v>85250</v>
      </c>
      <c r="H324">
        <v>17420</v>
      </c>
    </row>
    <row r="325" spans="1:8" x14ac:dyDescent="0.25">
      <c r="A325">
        <v>2024</v>
      </c>
      <c r="B325" t="s">
        <v>18</v>
      </c>
      <c r="C325" t="s">
        <v>24</v>
      </c>
      <c r="D325" t="s">
        <v>29</v>
      </c>
      <c r="E325">
        <v>310</v>
      </c>
      <c r="F325">
        <v>263</v>
      </c>
      <c r="G325">
        <v>81530</v>
      </c>
      <c r="H325">
        <v>12500</v>
      </c>
    </row>
    <row r="326" spans="1:8" x14ac:dyDescent="0.25">
      <c r="A326">
        <v>2024</v>
      </c>
      <c r="B326" t="s">
        <v>18</v>
      </c>
      <c r="C326" t="s">
        <v>24</v>
      </c>
      <c r="D326" t="s">
        <v>30</v>
      </c>
      <c r="E326">
        <v>150</v>
      </c>
      <c r="F326">
        <v>249</v>
      </c>
      <c r="G326">
        <v>37350</v>
      </c>
      <c r="H326">
        <v>5989</v>
      </c>
    </row>
    <row r="327" spans="1:8" x14ac:dyDescent="0.25">
      <c r="A327">
        <v>2024</v>
      </c>
      <c r="B327" t="s">
        <v>18</v>
      </c>
      <c r="C327" t="s">
        <v>25</v>
      </c>
      <c r="D327" t="s">
        <v>26</v>
      </c>
      <c r="E327">
        <v>165</v>
      </c>
      <c r="F327">
        <v>357</v>
      </c>
      <c r="G327">
        <v>58905</v>
      </c>
      <c r="H327">
        <v>11565</v>
      </c>
    </row>
    <row r="328" spans="1:8" x14ac:dyDescent="0.25">
      <c r="A328">
        <v>2024</v>
      </c>
      <c r="B328" t="s">
        <v>18</v>
      </c>
      <c r="C328" t="s">
        <v>25</v>
      </c>
      <c r="D328" t="s">
        <v>27</v>
      </c>
      <c r="E328">
        <v>325</v>
      </c>
      <c r="F328">
        <v>324</v>
      </c>
      <c r="G328">
        <v>105300</v>
      </c>
      <c r="H328">
        <v>14090</v>
      </c>
    </row>
    <row r="329" spans="1:8" x14ac:dyDescent="0.25">
      <c r="A329">
        <v>2024</v>
      </c>
      <c r="B329" t="s">
        <v>18</v>
      </c>
      <c r="C329" t="s">
        <v>25</v>
      </c>
      <c r="D329" t="s">
        <v>28</v>
      </c>
      <c r="E329">
        <v>367</v>
      </c>
      <c r="F329">
        <v>357</v>
      </c>
      <c r="G329">
        <v>131019</v>
      </c>
      <c r="H329">
        <v>24881</v>
      </c>
    </row>
    <row r="330" spans="1:8" x14ac:dyDescent="0.25">
      <c r="A330">
        <v>2024</v>
      </c>
      <c r="B330" t="s">
        <v>18</v>
      </c>
      <c r="C330" t="s">
        <v>25</v>
      </c>
      <c r="D330" t="s">
        <v>29</v>
      </c>
      <c r="E330">
        <v>262</v>
      </c>
      <c r="F330">
        <v>317</v>
      </c>
      <c r="G330">
        <v>83054</v>
      </c>
      <c r="H330">
        <v>12318</v>
      </c>
    </row>
    <row r="331" spans="1:8" x14ac:dyDescent="0.25">
      <c r="A331">
        <v>2024</v>
      </c>
      <c r="B331" t="s">
        <v>18</v>
      </c>
      <c r="C331" t="s">
        <v>25</v>
      </c>
      <c r="D331" t="s">
        <v>30</v>
      </c>
      <c r="E331">
        <v>439</v>
      </c>
      <c r="F331">
        <v>321</v>
      </c>
      <c r="G331">
        <v>140919</v>
      </c>
      <c r="H331">
        <v>15329</v>
      </c>
    </row>
    <row r="332" spans="1:8" x14ac:dyDescent="0.25">
      <c r="A332">
        <v>2024</v>
      </c>
      <c r="B332" t="s">
        <v>19</v>
      </c>
      <c r="C332" t="s">
        <v>20</v>
      </c>
      <c r="D332" t="s">
        <v>26</v>
      </c>
      <c r="E332">
        <v>212</v>
      </c>
      <c r="F332">
        <v>1303</v>
      </c>
      <c r="G332">
        <v>276236</v>
      </c>
      <c r="H332">
        <v>68311</v>
      </c>
    </row>
    <row r="333" spans="1:8" x14ac:dyDescent="0.25">
      <c r="A333">
        <v>2024</v>
      </c>
      <c r="B333" t="s">
        <v>19</v>
      </c>
      <c r="C333" t="s">
        <v>20</v>
      </c>
      <c r="D333" t="s">
        <v>27</v>
      </c>
      <c r="E333">
        <v>221</v>
      </c>
      <c r="F333">
        <v>1316</v>
      </c>
      <c r="G333">
        <v>290836</v>
      </c>
      <c r="H333">
        <v>51649</v>
      </c>
    </row>
    <row r="334" spans="1:8" x14ac:dyDescent="0.25">
      <c r="A334">
        <v>2024</v>
      </c>
      <c r="B334" t="s">
        <v>19</v>
      </c>
      <c r="C334" t="s">
        <v>20</v>
      </c>
      <c r="D334" t="s">
        <v>28</v>
      </c>
      <c r="E334">
        <v>285</v>
      </c>
      <c r="F334">
        <v>1124</v>
      </c>
      <c r="G334">
        <v>320340</v>
      </c>
      <c r="H334">
        <v>47803</v>
      </c>
    </row>
    <row r="335" spans="1:8" x14ac:dyDescent="0.25">
      <c r="A335">
        <v>2024</v>
      </c>
      <c r="B335" t="s">
        <v>19</v>
      </c>
      <c r="C335" t="s">
        <v>20</v>
      </c>
      <c r="D335" t="s">
        <v>29</v>
      </c>
      <c r="E335">
        <v>296</v>
      </c>
      <c r="F335">
        <v>1150</v>
      </c>
      <c r="G335">
        <v>340400</v>
      </c>
      <c r="H335">
        <v>53004</v>
      </c>
    </row>
    <row r="336" spans="1:8" x14ac:dyDescent="0.25">
      <c r="A336">
        <v>2024</v>
      </c>
      <c r="B336" t="s">
        <v>19</v>
      </c>
      <c r="C336" t="s">
        <v>20</v>
      </c>
      <c r="D336" t="s">
        <v>30</v>
      </c>
      <c r="E336">
        <v>217</v>
      </c>
      <c r="F336">
        <v>1259</v>
      </c>
      <c r="G336">
        <v>273203</v>
      </c>
      <c r="H336">
        <v>57468</v>
      </c>
    </row>
    <row r="337" spans="1:8" x14ac:dyDescent="0.25">
      <c r="A337">
        <v>2024</v>
      </c>
      <c r="B337" t="s">
        <v>19</v>
      </c>
      <c r="C337" t="s">
        <v>21</v>
      </c>
      <c r="D337" t="s">
        <v>26</v>
      </c>
      <c r="E337">
        <v>443</v>
      </c>
      <c r="F337">
        <v>906</v>
      </c>
      <c r="G337">
        <v>401358</v>
      </c>
      <c r="H337">
        <v>78820</v>
      </c>
    </row>
    <row r="338" spans="1:8" x14ac:dyDescent="0.25">
      <c r="A338">
        <v>2024</v>
      </c>
      <c r="B338" t="s">
        <v>19</v>
      </c>
      <c r="C338" t="s">
        <v>21</v>
      </c>
      <c r="D338" t="s">
        <v>27</v>
      </c>
      <c r="E338">
        <v>313</v>
      </c>
      <c r="F338">
        <v>847</v>
      </c>
      <c r="G338">
        <v>265111</v>
      </c>
      <c r="H338">
        <v>57753</v>
      </c>
    </row>
    <row r="339" spans="1:8" x14ac:dyDescent="0.25">
      <c r="A339">
        <v>2024</v>
      </c>
      <c r="B339" t="s">
        <v>19</v>
      </c>
      <c r="C339" t="s">
        <v>21</v>
      </c>
      <c r="D339" t="s">
        <v>28</v>
      </c>
      <c r="E339">
        <v>313</v>
      </c>
      <c r="F339">
        <v>918</v>
      </c>
      <c r="G339">
        <v>287334</v>
      </c>
      <c r="H339">
        <v>60938</v>
      </c>
    </row>
    <row r="340" spans="1:8" x14ac:dyDescent="0.25">
      <c r="A340">
        <v>2024</v>
      </c>
      <c r="B340" t="s">
        <v>19</v>
      </c>
      <c r="C340" t="s">
        <v>21</v>
      </c>
      <c r="D340" t="s">
        <v>29</v>
      </c>
      <c r="E340">
        <v>244</v>
      </c>
      <c r="F340">
        <v>910</v>
      </c>
      <c r="G340">
        <v>222040</v>
      </c>
      <c r="H340">
        <v>28962</v>
      </c>
    </row>
    <row r="341" spans="1:8" x14ac:dyDescent="0.25">
      <c r="A341">
        <v>2024</v>
      </c>
      <c r="B341" t="s">
        <v>19</v>
      </c>
      <c r="C341" t="s">
        <v>21</v>
      </c>
      <c r="D341" t="s">
        <v>30</v>
      </c>
      <c r="E341">
        <v>158</v>
      </c>
      <c r="F341">
        <v>915</v>
      </c>
      <c r="G341">
        <v>144570</v>
      </c>
      <c r="H341">
        <v>18041</v>
      </c>
    </row>
    <row r="342" spans="1:8" x14ac:dyDescent="0.25">
      <c r="A342">
        <v>2024</v>
      </c>
      <c r="B342" t="s">
        <v>19</v>
      </c>
      <c r="C342" t="s">
        <v>22</v>
      </c>
      <c r="D342" t="s">
        <v>26</v>
      </c>
      <c r="E342">
        <v>210</v>
      </c>
      <c r="F342">
        <v>108</v>
      </c>
      <c r="G342">
        <v>22680</v>
      </c>
      <c r="H342">
        <v>5097</v>
      </c>
    </row>
    <row r="343" spans="1:8" x14ac:dyDescent="0.25">
      <c r="A343">
        <v>2024</v>
      </c>
      <c r="B343" t="s">
        <v>19</v>
      </c>
      <c r="C343" t="s">
        <v>22</v>
      </c>
      <c r="D343" t="s">
        <v>27</v>
      </c>
      <c r="E343">
        <v>313</v>
      </c>
      <c r="F343">
        <v>123</v>
      </c>
      <c r="G343">
        <v>38499</v>
      </c>
      <c r="H343">
        <v>5574</v>
      </c>
    </row>
    <row r="344" spans="1:8" x14ac:dyDescent="0.25">
      <c r="A344">
        <v>2024</v>
      </c>
      <c r="B344" t="s">
        <v>19</v>
      </c>
      <c r="C344" t="s">
        <v>22</v>
      </c>
      <c r="D344" t="s">
        <v>28</v>
      </c>
      <c r="E344">
        <v>366</v>
      </c>
      <c r="F344">
        <v>109</v>
      </c>
      <c r="G344">
        <v>39894</v>
      </c>
      <c r="H344">
        <v>9092</v>
      </c>
    </row>
    <row r="345" spans="1:8" x14ac:dyDescent="0.25">
      <c r="A345">
        <v>2024</v>
      </c>
      <c r="B345" t="s">
        <v>19</v>
      </c>
      <c r="C345" t="s">
        <v>22</v>
      </c>
      <c r="D345" t="s">
        <v>29</v>
      </c>
      <c r="E345">
        <v>167</v>
      </c>
      <c r="F345">
        <v>133</v>
      </c>
      <c r="G345">
        <v>22211</v>
      </c>
      <c r="H345">
        <v>2841</v>
      </c>
    </row>
    <row r="346" spans="1:8" x14ac:dyDescent="0.25">
      <c r="A346">
        <v>2024</v>
      </c>
      <c r="B346" t="s">
        <v>19</v>
      </c>
      <c r="C346" t="s">
        <v>22</v>
      </c>
      <c r="D346" t="s">
        <v>30</v>
      </c>
      <c r="E346">
        <v>144</v>
      </c>
      <c r="F346">
        <v>121</v>
      </c>
      <c r="G346">
        <v>17424</v>
      </c>
      <c r="H346">
        <v>4192</v>
      </c>
    </row>
    <row r="347" spans="1:8" x14ac:dyDescent="0.25">
      <c r="A347">
        <v>2024</v>
      </c>
      <c r="B347" t="s">
        <v>19</v>
      </c>
      <c r="C347" t="s">
        <v>23</v>
      </c>
      <c r="D347" t="s">
        <v>26</v>
      </c>
      <c r="E347">
        <v>168</v>
      </c>
      <c r="F347">
        <v>634</v>
      </c>
      <c r="G347">
        <v>106512</v>
      </c>
      <c r="H347">
        <v>11447</v>
      </c>
    </row>
    <row r="348" spans="1:8" x14ac:dyDescent="0.25">
      <c r="A348">
        <v>2024</v>
      </c>
      <c r="B348" t="s">
        <v>19</v>
      </c>
      <c r="C348" t="s">
        <v>23</v>
      </c>
      <c r="D348" t="s">
        <v>27</v>
      </c>
      <c r="E348">
        <v>423</v>
      </c>
      <c r="F348">
        <v>614</v>
      </c>
      <c r="G348">
        <v>259722</v>
      </c>
      <c r="H348">
        <v>42991</v>
      </c>
    </row>
    <row r="349" spans="1:8" x14ac:dyDescent="0.25">
      <c r="A349">
        <v>2024</v>
      </c>
      <c r="B349" t="s">
        <v>19</v>
      </c>
      <c r="C349" t="s">
        <v>23</v>
      </c>
      <c r="D349" t="s">
        <v>28</v>
      </c>
      <c r="E349">
        <v>443</v>
      </c>
      <c r="F349">
        <v>541</v>
      </c>
      <c r="G349">
        <v>239663</v>
      </c>
      <c r="H349">
        <v>26025</v>
      </c>
    </row>
    <row r="350" spans="1:8" x14ac:dyDescent="0.25">
      <c r="A350">
        <v>2024</v>
      </c>
      <c r="B350" t="s">
        <v>19</v>
      </c>
      <c r="C350" t="s">
        <v>23</v>
      </c>
      <c r="D350" t="s">
        <v>29</v>
      </c>
      <c r="E350">
        <v>286</v>
      </c>
      <c r="F350">
        <v>631</v>
      </c>
      <c r="G350">
        <v>180466</v>
      </c>
      <c r="H350">
        <v>21710</v>
      </c>
    </row>
    <row r="351" spans="1:8" x14ac:dyDescent="0.25">
      <c r="A351">
        <v>2024</v>
      </c>
      <c r="B351" t="s">
        <v>19</v>
      </c>
      <c r="C351" t="s">
        <v>23</v>
      </c>
      <c r="D351" t="s">
        <v>30</v>
      </c>
      <c r="E351">
        <v>124</v>
      </c>
      <c r="F351">
        <v>678</v>
      </c>
      <c r="G351">
        <v>84072</v>
      </c>
      <c r="H351">
        <v>14360</v>
      </c>
    </row>
    <row r="352" spans="1:8" x14ac:dyDescent="0.25">
      <c r="A352">
        <v>2024</v>
      </c>
      <c r="B352" t="s">
        <v>19</v>
      </c>
      <c r="C352" t="s">
        <v>24</v>
      </c>
      <c r="D352" t="s">
        <v>26</v>
      </c>
      <c r="E352">
        <v>330</v>
      </c>
      <c r="F352">
        <v>229</v>
      </c>
      <c r="G352">
        <v>75570</v>
      </c>
      <c r="H352">
        <v>8203</v>
      </c>
    </row>
    <row r="353" spans="1:8" x14ac:dyDescent="0.25">
      <c r="A353">
        <v>2024</v>
      </c>
      <c r="B353" t="s">
        <v>19</v>
      </c>
      <c r="C353" t="s">
        <v>24</v>
      </c>
      <c r="D353" t="s">
        <v>27</v>
      </c>
      <c r="E353">
        <v>338</v>
      </c>
      <c r="F353">
        <v>242</v>
      </c>
      <c r="G353">
        <v>81796</v>
      </c>
      <c r="H353">
        <v>11561</v>
      </c>
    </row>
    <row r="354" spans="1:8" x14ac:dyDescent="0.25">
      <c r="A354">
        <v>2024</v>
      </c>
      <c r="B354" t="s">
        <v>19</v>
      </c>
      <c r="C354" t="s">
        <v>24</v>
      </c>
      <c r="D354" t="s">
        <v>28</v>
      </c>
      <c r="E354">
        <v>395</v>
      </c>
      <c r="F354">
        <v>240</v>
      </c>
      <c r="G354">
        <v>94800</v>
      </c>
      <c r="H354">
        <v>13347</v>
      </c>
    </row>
    <row r="355" spans="1:8" x14ac:dyDescent="0.25">
      <c r="A355">
        <v>2024</v>
      </c>
      <c r="B355" t="s">
        <v>19</v>
      </c>
      <c r="C355" t="s">
        <v>24</v>
      </c>
      <c r="D355" t="s">
        <v>29</v>
      </c>
      <c r="E355">
        <v>295</v>
      </c>
      <c r="F355">
        <v>251</v>
      </c>
      <c r="G355">
        <v>74045</v>
      </c>
      <c r="H355">
        <v>16787</v>
      </c>
    </row>
    <row r="356" spans="1:8" x14ac:dyDescent="0.25">
      <c r="A356">
        <v>2024</v>
      </c>
      <c r="B356" t="s">
        <v>19</v>
      </c>
      <c r="C356" t="s">
        <v>24</v>
      </c>
      <c r="D356" t="s">
        <v>30</v>
      </c>
      <c r="E356">
        <v>168</v>
      </c>
      <c r="F356">
        <v>229</v>
      </c>
      <c r="G356">
        <v>38472</v>
      </c>
      <c r="H356">
        <v>6660</v>
      </c>
    </row>
    <row r="357" spans="1:8" x14ac:dyDescent="0.25">
      <c r="A357">
        <v>2024</v>
      </c>
      <c r="B357" t="s">
        <v>19</v>
      </c>
      <c r="C357" t="s">
        <v>25</v>
      </c>
      <c r="D357" t="s">
        <v>26</v>
      </c>
      <c r="E357">
        <v>297</v>
      </c>
      <c r="F357">
        <v>319</v>
      </c>
      <c r="G357">
        <v>94743</v>
      </c>
      <c r="H357">
        <v>18281</v>
      </c>
    </row>
    <row r="358" spans="1:8" x14ac:dyDescent="0.25">
      <c r="A358">
        <v>2024</v>
      </c>
      <c r="B358" t="s">
        <v>19</v>
      </c>
      <c r="C358" t="s">
        <v>25</v>
      </c>
      <c r="D358" t="s">
        <v>27</v>
      </c>
      <c r="E358">
        <v>113</v>
      </c>
      <c r="F358">
        <v>361</v>
      </c>
      <c r="G358">
        <v>40793</v>
      </c>
      <c r="H358">
        <v>6594</v>
      </c>
    </row>
    <row r="359" spans="1:8" x14ac:dyDescent="0.25">
      <c r="A359">
        <v>2024</v>
      </c>
      <c r="B359" t="s">
        <v>19</v>
      </c>
      <c r="C359" t="s">
        <v>25</v>
      </c>
      <c r="D359" t="s">
        <v>28</v>
      </c>
      <c r="E359">
        <v>97</v>
      </c>
      <c r="F359">
        <v>322</v>
      </c>
      <c r="G359">
        <v>31234</v>
      </c>
      <c r="H359">
        <v>4232</v>
      </c>
    </row>
    <row r="360" spans="1:8" x14ac:dyDescent="0.25">
      <c r="A360">
        <v>2024</v>
      </c>
      <c r="B360" t="s">
        <v>19</v>
      </c>
      <c r="C360" t="s">
        <v>25</v>
      </c>
      <c r="D360" t="s">
        <v>29</v>
      </c>
      <c r="E360">
        <v>270</v>
      </c>
      <c r="F360">
        <v>373</v>
      </c>
      <c r="G360">
        <v>100710</v>
      </c>
      <c r="H360">
        <v>24624</v>
      </c>
    </row>
    <row r="361" spans="1:8" x14ac:dyDescent="0.25">
      <c r="A361">
        <v>2024</v>
      </c>
      <c r="B361" t="s">
        <v>19</v>
      </c>
      <c r="C361" t="s">
        <v>25</v>
      </c>
      <c r="D361" t="s">
        <v>30</v>
      </c>
      <c r="E361">
        <v>251</v>
      </c>
      <c r="F361">
        <v>392</v>
      </c>
      <c r="G361">
        <v>98392</v>
      </c>
      <c r="H361">
        <v>15646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21"/>
  <sheetViews>
    <sheetView topLeftCell="A346" workbookViewId="0">
      <selection activeCell="Y722" sqref="Y722:Y723"/>
    </sheetView>
  </sheetViews>
  <sheetFormatPr defaultRowHeight="15" x14ac:dyDescent="0.25"/>
  <cols>
    <col min="1" max="1" width="12.140625" customWidth="1"/>
    <col min="5" max="5" width="15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>
        <v>2023</v>
      </c>
      <c r="B2" t="s">
        <v>8</v>
      </c>
      <c r="C2" t="s">
        <v>20</v>
      </c>
      <c r="D2" t="s">
        <v>26</v>
      </c>
      <c r="E2">
        <v>186</v>
      </c>
      <c r="F2">
        <v>1318</v>
      </c>
      <c r="G2">
        <v>245148</v>
      </c>
      <c r="H2">
        <v>31260</v>
      </c>
    </row>
    <row r="3" spans="1:8" x14ac:dyDescent="0.25">
      <c r="A3">
        <v>2023</v>
      </c>
      <c r="B3" t="s">
        <v>8</v>
      </c>
      <c r="C3" t="s">
        <v>20</v>
      </c>
      <c r="D3" t="s">
        <v>27</v>
      </c>
      <c r="E3">
        <v>154</v>
      </c>
      <c r="F3">
        <v>1259</v>
      </c>
      <c r="G3">
        <v>193886</v>
      </c>
      <c r="H3">
        <v>23926</v>
      </c>
    </row>
    <row r="4" spans="1:8" x14ac:dyDescent="0.25">
      <c r="A4">
        <v>2023</v>
      </c>
      <c r="B4" t="s">
        <v>8</v>
      </c>
      <c r="C4" t="s">
        <v>20</v>
      </c>
      <c r="D4" t="s">
        <v>28</v>
      </c>
      <c r="E4">
        <v>301</v>
      </c>
      <c r="F4">
        <v>1097</v>
      </c>
      <c r="G4">
        <v>330197</v>
      </c>
      <c r="H4">
        <v>75921</v>
      </c>
    </row>
    <row r="5" spans="1:8" x14ac:dyDescent="0.25">
      <c r="A5">
        <v>2023</v>
      </c>
      <c r="B5" t="s">
        <v>8</v>
      </c>
      <c r="C5" t="s">
        <v>20</v>
      </c>
      <c r="D5" t="s">
        <v>29</v>
      </c>
      <c r="E5">
        <v>183</v>
      </c>
      <c r="F5">
        <v>1122</v>
      </c>
      <c r="G5">
        <v>205326</v>
      </c>
      <c r="H5">
        <v>40579</v>
      </c>
    </row>
    <row r="6" spans="1:8" x14ac:dyDescent="0.25">
      <c r="A6">
        <v>2023</v>
      </c>
      <c r="B6" t="s">
        <v>8</v>
      </c>
      <c r="C6" t="s">
        <v>20</v>
      </c>
      <c r="D6" t="s">
        <v>30</v>
      </c>
      <c r="E6">
        <v>397</v>
      </c>
      <c r="F6">
        <v>1370</v>
      </c>
      <c r="G6">
        <v>543890</v>
      </c>
      <c r="H6">
        <v>122302</v>
      </c>
    </row>
    <row r="7" spans="1:8" x14ac:dyDescent="0.25">
      <c r="A7">
        <v>2023</v>
      </c>
      <c r="B7" t="s">
        <v>8</v>
      </c>
      <c r="C7" t="s">
        <v>21</v>
      </c>
      <c r="D7" t="s">
        <v>26</v>
      </c>
      <c r="E7">
        <v>382</v>
      </c>
      <c r="F7">
        <v>720</v>
      </c>
      <c r="G7">
        <v>275040</v>
      </c>
      <c r="H7">
        <v>68438</v>
      </c>
    </row>
    <row r="8" spans="1:8" x14ac:dyDescent="0.25">
      <c r="A8">
        <v>2023</v>
      </c>
      <c r="B8" t="s">
        <v>8</v>
      </c>
      <c r="C8" t="s">
        <v>21</v>
      </c>
      <c r="D8" t="s">
        <v>27</v>
      </c>
      <c r="E8">
        <v>245</v>
      </c>
      <c r="F8">
        <v>780</v>
      </c>
      <c r="G8">
        <v>191100</v>
      </c>
      <c r="H8">
        <v>34152</v>
      </c>
    </row>
    <row r="9" spans="1:8" x14ac:dyDescent="0.25">
      <c r="A9">
        <v>2023</v>
      </c>
      <c r="B9" t="s">
        <v>8</v>
      </c>
      <c r="C9" t="s">
        <v>21</v>
      </c>
      <c r="D9" t="s">
        <v>28</v>
      </c>
      <c r="E9">
        <v>322</v>
      </c>
      <c r="F9">
        <v>724</v>
      </c>
      <c r="G9">
        <v>233128</v>
      </c>
      <c r="H9">
        <v>41663</v>
      </c>
    </row>
    <row r="10" spans="1:8" x14ac:dyDescent="0.25">
      <c r="A10">
        <v>2023</v>
      </c>
      <c r="B10" t="s">
        <v>8</v>
      </c>
      <c r="C10" t="s">
        <v>21</v>
      </c>
      <c r="D10" t="s">
        <v>29</v>
      </c>
      <c r="E10">
        <v>255</v>
      </c>
      <c r="F10">
        <v>729</v>
      </c>
      <c r="G10">
        <v>185895</v>
      </c>
      <c r="H10">
        <v>45741</v>
      </c>
    </row>
    <row r="11" spans="1:8" x14ac:dyDescent="0.25">
      <c r="A11">
        <v>2023</v>
      </c>
      <c r="B11" t="s">
        <v>8</v>
      </c>
      <c r="C11" t="s">
        <v>21</v>
      </c>
      <c r="D11" t="s">
        <v>30</v>
      </c>
      <c r="E11">
        <v>358</v>
      </c>
      <c r="F11">
        <v>811</v>
      </c>
      <c r="G11">
        <v>290338</v>
      </c>
      <c r="H11">
        <v>63228</v>
      </c>
    </row>
    <row r="12" spans="1:8" x14ac:dyDescent="0.25">
      <c r="A12">
        <v>2023</v>
      </c>
      <c r="B12" t="s">
        <v>8</v>
      </c>
      <c r="C12" t="s">
        <v>22</v>
      </c>
      <c r="D12" t="s">
        <v>26</v>
      </c>
      <c r="E12">
        <v>133</v>
      </c>
      <c r="F12">
        <v>119</v>
      </c>
      <c r="G12">
        <v>15827</v>
      </c>
      <c r="H12">
        <v>3916</v>
      </c>
    </row>
    <row r="13" spans="1:8" x14ac:dyDescent="0.25">
      <c r="A13">
        <v>2023</v>
      </c>
      <c r="B13" t="s">
        <v>8</v>
      </c>
      <c r="C13" t="s">
        <v>22</v>
      </c>
      <c r="D13" t="s">
        <v>27</v>
      </c>
      <c r="E13">
        <v>215</v>
      </c>
      <c r="F13">
        <v>133</v>
      </c>
      <c r="G13">
        <v>28595</v>
      </c>
      <c r="H13">
        <v>5777</v>
      </c>
    </row>
    <row r="14" spans="1:8" x14ac:dyDescent="0.25">
      <c r="A14">
        <v>2023</v>
      </c>
      <c r="B14" t="s">
        <v>8</v>
      </c>
      <c r="C14" t="s">
        <v>22</v>
      </c>
      <c r="D14" t="s">
        <v>28</v>
      </c>
      <c r="E14">
        <v>252</v>
      </c>
      <c r="F14">
        <v>108</v>
      </c>
      <c r="G14">
        <v>27216</v>
      </c>
      <c r="H14">
        <v>6568</v>
      </c>
    </row>
    <row r="15" spans="1:8" x14ac:dyDescent="0.25">
      <c r="A15">
        <v>2023</v>
      </c>
      <c r="B15" t="s">
        <v>8</v>
      </c>
      <c r="C15" t="s">
        <v>22</v>
      </c>
      <c r="D15" t="s">
        <v>29</v>
      </c>
      <c r="E15">
        <v>95</v>
      </c>
      <c r="F15">
        <v>132</v>
      </c>
      <c r="G15">
        <v>12540</v>
      </c>
      <c r="H15">
        <v>1826</v>
      </c>
    </row>
    <row r="16" spans="1:8" x14ac:dyDescent="0.25">
      <c r="A16">
        <v>2023</v>
      </c>
      <c r="B16" t="s">
        <v>8</v>
      </c>
      <c r="C16" t="s">
        <v>22</v>
      </c>
      <c r="D16" t="s">
        <v>30</v>
      </c>
      <c r="E16">
        <v>135</v>
      </c>
      <c r="F16">
        <v>114</v>
      </c>
      <c r="G16">
        <v>15390</v>
      </c>
      <c r="H16">
        <v>2095</v>
      </c>
    </row>
    <row r="17" spans="1:8" x14ac:dyDescent="0.25">
      <c r="A17">
        <v>2023</v>
      </c>
      <c r="B17" t="s">
        <v>8</v>
      </c>
      <c r="C17" t="s">
        <v>23</v>
      </c>
      <c r="D17" t="s">
        <v>26</v>
      </c>
      <c r="E17">
        <v>351</v>
      </c>
      <c r="F17">
        <v>545</v>
      </c>
      <c r="G17">
        <v>191295</v>
      </c>
      <c r="H17">
        <v>45221</v>
      </c>
    </row>
    <row r="18" spans="1:8" x14ac:dyDescent="0.25">
      <c r="A18">
        <v>2023</v>
      </c>
      <c r="B18" t="s">
        <v>8</v>
      </c>
      <c r="C18" t="s">
        <v>23</v>
      </c>
      <c r="D18" t="s">
        <v>27</v>
      </c>
      <c r="E18">
        <v>132</v>
      </c>
      <c r="F18">
        <v>639</v>
      </c>
      <c r="G18">
        <v>84348</v>
      </c>
      <c r="H18">
        <v>12378</v>
      </c>
    </row>
    <row r="19" spans="1:8" x14ac:dyDescent="0.25">
      <c r="A19">
        <v>2023</v>
      </c>
      <c r="B19" t="s">
        <v>8</v>
      </c>
      <c r="C19" t="s">
        <v>23</v>
      </c>
      <c r="D19" t="s">
        <v>28</v>
      </c>
      <c r="E19">
        <v>136</v>
      </c>
      <c r="F19">
        <v>622</v>
      </c>
      <c r="G19">
        <v>84592</v>
      </c>
      <c r="H19">
        <v>10804</v>
      </c>
    </row>
    <row r="20" spans="1:8" x14ac:dyDescent="0.25">
      <c r="A20">
        <v>2023</v>
      </c>
      <c r="B20" t="s">
        <v>8</v>
      </c>
      <c r="C20" t="s">
        <v>23</v>
      </c>
      <c r="D20" t="s">
        <v>29</v>
      </c>
      <c r="E20">
        <v>276</v>
      </c>
      <c r="F20">
        <v>666</v>
      </c>
      <c r="G20">
        <v>183816</v>
      </c>
      <c r="H20">
        <v>30782</v>
      </c>
    </row>
    <row r="21" spans="1:8" x14ac:dyDescent="0.25">
      <c r="A21">
        <v>2023</v>
      </c>
      <c r="B21" t="s">
        <v>8</v>
      </c>
      <c r="C21" t="s">
        <v>23</v>
      </c>
      <c r="D21" t="s">
        <v>30</v>
      </c>
      <c r="E21">
        <v>288</v>
      </c>
      <c r="F21">
        <v>674</v>
      </c>
      <c r="G21">
        <v>194112</v>
      </c>
      <c r="H21">
        <v>36820</v>
      </c>
    </row>
    <row r="22" spans="1:8" x14ac:dyDescent="0.25">
      <c r="A22">
        <v>2023</v>
      </c>
      <c r="B22" t="s">
        <v>8</v>
      </c>
      <c r="C22" t="s">
        <v>24</v>
      </c>
      <c r="D22" t="s">
        <v>26</v>
      </c>
      <c r="E22">
        <v>392</v>
      </c>
      <c r="F22">
        <v>245</v>
      </c>
      <c r="G22">
        <v>96040</v>
      </c>
      <c r="H22">
        <v>17821</v>
      </c>
    </row>
    <row r="23" spans="1:8" x14ac:dyDescent="0.25">
      <c r="A23">
        <v>2023</v>
      </c>
      <c r="B23" t="s">
        <v>8</v>
      </c>
      <c r="C23" t="s">
        <v>24</v>
      </c>
      <c r="D23" t="s">
        <v>27</v>
      </c>
      <c r="E23">
        <v>339</v>
      </c>
      <c r="F23">
        <v>227</v>
      </c>
      <c r="G23">
        <v>76953</v>
      </c>
      <c r="H23">
        <v>11450</v>
      </c>
    </row>
    <row r="24" spans="1:8" x14ac:dyDescent="0.25">
      <c r="A24">
        <v>2023</v>
      </c>
      <c r="B24" t="s">
        <v>8</v>
      </c>
      <c r="C24" t="s">
        <v>24</v>
      </c>
      <c r="D24" t="s">
        <v>28</v>
      </c>
      <c r="E24">
        <v>294</v>
      </c>
      <c r="F24">
        <v>271</v>
      </c>
      <c r="G24">
        <v>79674</v>
      </c>
      <c r="H24">
        <v>14417</v>
      </c>
    </row>
    <row r="25" spans="1:8" x14ac:dyDescent="0.25">
      <c r="A25">
        <v>2023</v>
      </c>
      <c r="B25" t="s">
        <v>8</v>
      </c>
      <c r="C25" t="s">
        <v>24</v>
      </c>
      <c r="D25" t="s">
        <v>29</v>
      </c>
      <c r="E25">
        <v>367</v>
      </c>
      <c r="F25">
        <v>247</v>
      </c>
      <c r="G25">
        <v>90649</v>
      </c>
      <c r="H25">
        <v>12884</v>
      </c>
    </row>
    <row r="26" spans="1:8" x14ac:dyDescent="0.25">
      <c r="A26">
        <v>2023</v>
      </c>
      <c r="B26" t="s">
        <v>8</v>
      </c>
      <c r="C26" t="s">
        <v>24</v>
      </c>
      <c r="D26" t="s">
        <v>30</v>
      </c>
      <c r="E26">
        <v>122</v>
      </c>
      <c r="F26">
        <v>243</v>
      </c>
      <c r="G26">
        <v>29646</v>
      </c>
      <c r="H26">
        <v>3699</v>
      </c>
    </row>
    <row r="27" spans="1:8" x14ac:dyDescent="0.25">
      <c r="A27">
        <v>2023</v>
      </c>
      <c r="B27" t="s">
        <v>8</v>
      </c>
      <c r="C27" t="s">
        <v>25</v>
      </c>
      <c r="D27" t="s">
        <v>26</v>
      </c>
      <c r="E27">
        <v>90</v>
      </c>
      <c r="F27">
        <v>382</v>
      </c>
      <c r="G27">
        <v>34380</v>
      </c>
      <c r="H27">
        <v>4462</v>
      </c>
    </row>
    <row r="28" spans="1:8" x14ac:dyDescent="0.25">
      <c r="A28">
        <v>2023</v>
      </c>
      <c r="B28" t="s">
        <v>8</v>
      </c>
      <c r="C28" t="s">
        <v>25</v>
      </c>
      <c r="D28" t="s">
        <v>27</v>
      </c>
      <c r="E28">
        <v>145</v>
      </c>
      <c r="F28">
        <v>386</v>
      </c>
      <c r="G28">
        <v>55970</v>
      </c>
      <c r="H28">
        <v>11531</v>
      </c>
    </row>
    <row r="29" spans="1:8" x14ac:dyDescent="0.25">
      <c r="A29">
        <v>2023</v>
      </c>
      <c r="B29" t="s">
        <v>8</v>
      </c>
      <c r="C29" t="s">
        <v>25</v>
      </c>
      <c r="D29" t="s">
        <v>28</v>
      </c>
      <c r="E29">
        <v>248</v>
      </c>
      <c r="F29">
        <v>384</v>
      </c>
      <c r="G29">
        <v>95232</v>
      </c>
      <c r="H29">
        <v>18179</v>
      </c>
    </row>
    <row r="30" spans="1:8" x14ac:dyDescent="0.25">
      <c r="A30">
        <v>2023</v>
      </c>
      <c r="B30" t="s">
        <v>8</v>
      </c>
      <c r="C30" t="s">
        <v>25</v>
      </c>
      <c r="D30" t="s">
        <v>29</v>
      </c>
      <c r="E30">
        <v>317</v>
      </c>
      <c r="F30">
        <v>371</v>
      </c>
      <c r="G30">
        <v>117607</v>
      </c>
      <c r="H30">
        <v>27901</v>
      </c>
    </row>
    <row r="31" spans="1:8" x14ac:dyDescent="0.25">
      <c r="A31">
        <v>2023</v>
      </c>
      <c r="B31" t="s">
        <v>8</v>
      </c>
      <c r="C31" t="s">
        <v>25</v>
      </c>
      <c r="D31" t="s">
        <v>30</v>
      </c>
      <c r="E31">
        <v>287</v>
      </c>
      <c r="F31">
        <v>369</v>
      </c>
      <c r="G31">
        <v>105903</v>
      </c>
      <c r="H31">
        <v>15846</v>
      </c>
    </row>
    <row r="32" spans="1:8" x14ac:dyDescent="0.25">
      <c r="A32">
        <v>2023</v>
      </c>
      <c r="B32" t="s">
        <v>9</v>
      </c>
      <c r="C32" t="s">
        <v>20</v>
      </c>
      <c r="D32" t="s">
        <v>26</v>
      </c>
      <c r="E32">
        <v>132</v>
      </c>
      <c r="F32">
        <v>1191</v>
      </c>
      <c r="G32">
        <v>157212</v>
      </c>
      <c r="H32">
        <v>31493</v>
      </c>
    </row>
    <row r="33" spans="1:8" x14ac:dyDescent="0.25">
      <c r="A33">
        <v>2023</v>
      </c>
      <c r="B33" t="s">
        <v>9</v>
      </c>
      <c r="C33" t="s">
        <v>20</v>
      </c>
      <c r="D33" t="s">
        <v>27</v>
      </c>
      <c r="E33">
        <v>388</v>
      </c>
      <c r="F33">
        <v>1298</v>
      </c>
      <c r="G33">
        <v>503624</v>
      </c>
      <c r="H33">
        <v>98525</v>
      </c>
    </row>
    <row r="34" spans="1:8" x14ac:dyDescent="0.25">
      <c r="A34">
        <v>2023</v>
      </c>
      <c r="B34" t="s">
        <v>9</v>
      </c>
      <c r="C34" t="s">
        <v>20</v>
      </c>
      <c r="D34" t="s">
        <v>28</v>
      </c>
      <c r="E34">
        <v>118</v>
      </c>
      <c r="F34">
        <v>1221</v>
      </c>
      <c r="G34">
        <v>144078</v>
      </c>
      <c r="H34">
        <v>16992</v>
      </c>
    </row>
    <row r="35" spans="1:8" x14ac:dyDescent="0.25">
      <c r="A35">
        <v>2023</v>
      </c>
      <c r="B35" t="s">
        <v>9</v>
      </c>
      <c r="C35" t="s">
        <v>20</v>
      </c>
      <c r="D35" t="s">
        <v>29</v>
      </c>
      <c r="E35">
        <v>219</v>
      </c>
      <c r="F35">
        <v>1308</v>
      </c>
      <c r="G35">
        <v>286452</v>
      </c>
      <c r="H35">
        <v>52762</v>
      </c>
    </row>
    <row r="36" spans="1:8" x14ac:dyDescent="0.25">
      <c r="A36">
        <v>2023</v>
      </c>
      <c r="B36" t="s">
        <v>9</v>
      </c>
      <c r="C36" t="s">
        <v>20</v>
      </c>
      <c r="D36" t="s">
        <v>30</v>
      </c>
      <c r="E36">
        <v>348</v>
      </c>
      <c r="F36">
        <v>1156</v>
      </c>
      <c r="G36">
        <v>402288</v>
      </c>
      <c r="H36">
        <v>42668</v>
      </c>
    </row>
    <row r="37" spans="1:8" x14ac:dyDescent="0.25">
      <c r="A37">
        <v>2023</v>
      </c>
      <c r="B37" t="s">
        <v>9</v>
      </c>
      <c r="C37" t="s">
        <v>21</v>
      </c>
      <c r="D37" t="s">
        <v>26</v>
      </c>
      <c r="E37">
        <v>298</v>
      </c>
      <c r="F37">
        <v>805</v>
      </c>
      <c r="G37">
        <v>239890</v>
      </c>
      <c r="H37">
        <v>24903</v>
      </c>
    </row>
    <row r="38" spans="1:8" x14ac:dyDescent="0.25">
      <c r="A38">
        <v>2023</v>
      </c>
      <c r="B38" t="s">
        <v>9</v>
      </c>
      <c r="C38" t="s">
        <v>21</v>
      </c>
      <c r="D38" t="s">
        <v>27</v>
      </c>
      <c r="E38">
        <v>269</v>
      </c>
      <c r="F38">
        <v>726</v>
      </c>
      <c r="G38">
        <v>195294</v>
      </c>
      <c r="H38">
        <v>38172</v>
      </c>
    </row>
    <row r="39" spans="1:8" x14ac:dyDescent="0.25">
      <c r="A39">
        <v>2023</v>
      </c>
      <c r="B39" t="s">
        <v>9</v>
      </c>
      <c r="C39" t="s">
        <v>21</v>
      </c>
      <c r="D39" t="s">
        <v>28</v>
      </c>
      <c r="E39">
        <v>136</v>
      </c>
      <c r="F39">
        <v>832</v>
      </c>
      <c r="G39">
        <v>113152</v>
      </c>
      <c r="H39">
        <v>23120</v>
      </c>
    </row>
    <row r="40" spans="1:8" x14ac:dyDescent="0.25">
      <c r="A40">
        <v>2023</v>
      </c>
      <c r="B40" t="s">
        <v>9</v>
      </c>
      <c r="C40" t="s">
        <v>21</v>
      </c>
      <c r="D40" t="s">
        <v>29</v>
      </c>
      <c r="E40">
        <v>323</v>
      </c>
      <c r="F40">
        <v>802</v>
      </c>
      <c r="G40">
        <v>259046</v>
      </c>
      <c r="H40">
        <v>55262</v>
      </c>
    </row>
    <row r="41" spans="1:8" x14ac:dyDescent="0.25">
      <c r="A41">
        <v>2023</v>
      </c>
      <c r="B41" t="s">
        <v>9</v>
      </c>
      <c r="C41" t="s">
        <v>21</v>
      </c>
      <c r="D41" t="s">
        <v>30</v>
      </c>
      <c r="E41">
        <v>119</v>
      </c>
      <c r="F41">
        <v>908</v>
      </c>
      <c r="G41">
        <v>108052</v>
      </c>
      <c r="H41">
        <v>20511</v>
      </c>
    </row>
    <row r="42" spans="1:8" x14ac:dyDescent="0.25">
      <c r="A42">
        <v>2023</v>
      </c>
      <c r="B42" t="s">
        <v>9</v>
      </c>
      <c r="C42" t="s">
        <v>22</v>
      </c>
      <c r="D42" t="s">
        <v>26</v>
      </c>
      <c r="E42">
        <v>335</v>
      </c>
      <c r="F42">
        <v>112</v>
      </c>
      <c r="G42">
        <v>37520</v>
      </c>
      <c r="H42">
        <v>8984</v>
      </c>
    </row>
    <row r="43" spans="1:8" x14ac:dyDescent="0.25">
      <c r="A43">
        <v>2023</v>
      </c>
      <c r="B43" t="s">
        <v>9</v>
      </c>
      <c r="C43" t="s">
        <v>22</v>
      </c>
      <c r="D43" t="s">
        <v>27</v>
      </c>
      <c r="E43">
        <v>129</v>
      </c>
      <c r="F43">
        <v>116</v>
      </c>
      <c r="G43">
        <v>14964</v>
      </c>
      <c r="H43">
        <v>1733</v>
      </c>
    </row>
    <row r="44" spans="1:8" x14ac:dyDescent="0.25">
      <c r="A44">
        <v>2023</v>
      </c>
      <c r="B44" t="s">
        <v>9</v>
      </c>
      <c r="C44" t="s">
        <v>22</v>
      </c>
      <c r="D44" t="s">
        <v>28</v>
      </c>
      <c r="E44">
        <v>378</v>
      </c>
      <c r="F44">
        <v>132</v>
      </c>
      <c r="G44">
        <v>49896</v>
      </c>
      <c r="H44">
        <v>6385</v>
      </c>
    </row>
    <row r="45" spans="1:8" x14ac:dyDescent="0.25">
      <c r="A45">
        <v>2023</v>
      </c>
      <c r="B45" t="s">
        <v>9</v>
      </c>
      <c r="C45" t="s">
        <v>22</v>
      </c>
      <c r="D45" t="s">
        <v>29</v>
      </c>
      <c r="E45">
        <v>380</v>
      </c>
      <c r="F45">
        <v>134</v>
      </c>
      <c r="G45">
        <v>50920</v>
      </c>
      <c r="H45">
        <v>7569</v>
      </c>
    </row>
    <row r="46" spans="1:8" x14ac:dyDescent="0.25">
      <c r="A46">
        <v>2023</v>
      </c>
      <c r="B46" t="s">
        <v>9</v>
      </c>
      <c r="C46" t="s">
        <v>22</v>
      </c>
      <c r="D46" t="s">
        <v>30</v>
      </c>
      <c r="E46">
        <v>323</v>
      </c>
      <c r="F46">
        <v>135</v>
      </c>
      <c r="G46">
        <v>43605</v>
      </c>
      <c r="H46">
        <v>6140</v>
      </c>
    </row>
    <row r="47" spans="1:8" x14ac:dyDescent="0.25">
      <c r="A47">
        <v>2023</v>
      </c>
      <c r="B47" t="s">
        <v>9</v>
      </c>
      <c r="C47" t="s">
        <v>23</v>
      </c>
      <c r="D47" t="s">
        <v>26</v>
      </c>
      <c r="E47">
        <v>377</v>
      </c>
      <c r="F47">
        <v>604</v>
      </c>
      <c r="G47">
        <v>227708</v>
      </c>
      <c r="H47">
        <v>50711</v>
      </c>
    </row>
    <row r="48" spans="1:8" x14ac:dyDescent="0.25">
      <c r="A48">
        <v>2023</v>
      </c>
      <c r="B48" t="s">
        <v>9</v>
      </c>
      <c r="C48" t="s">
        <v>23</v>
      </c>
      <c r="D48" t="s">
        <v>27</v>
      </c>
      <c r="E48">
        <v>325</v>
      </c>
      <c r="F48">
        <v>585</v>
      </c>
      <c r="G48">
        <v>190125</v>
      </c>
      <c r="H48">
        <v>23708</v>
      </c>
    </row>
    <row r="49" spans="1:8" x14ac:dyDescent="0.25">
      <c r="A49">
        <v>2023</v>
      </c>
      <c r="B49" t="s">
        <v>9</v>
      </c>
      <c r="C49" t="s">
        <v>23</v>
      </c>
      <c r="D49" t="s">
        <v>28</v>
      </c>
      <c r="E49">
        <v>225</v>
      </c>
      <c r="F49">
        <v>612</v>
      </c>
      <c r="G49">
        <v>137700</v>
      </c>
      <c r="H49">
        <v>28072</v>
      </c>
    </row>
    <row r="50" spans="1:8" x14ac:dyDescent="0.25">
      <c r="A50">
        <v>2023</v>
      </c>
      <c r="B50" t="s">
        <v>9</v>
      </c>
      <c r="C50" t="s">
        <v>23</v>
      </c>
      <c r="D50" t="s">
        <v>29</v>
      </c>
      <c r="E50">
        <v>326</v>
      </c>
      <c r="F50">
        <v>590</v>
      </c>
      <c r="G50">
        <v>192340</v>
      </c>
      <c r="H50">
        <v>46437</v>
      </c>
    </row>
    <row r="51" spans="1:8" x14ac:dyDescent="0.25">
      <c r="A51">
        <v>2023</v>
      </c>
      <c r="B51" t="s">
        <v>9</v>
      </c>
      <c r="C51" t="s">
        <v>23</v>
      </c>
      <c r="D51" t="s">
        <v>30</v>
      </c>
      <c r="E51">
        <v>249</v>
      </c>
      <c r="F51">
        <v>617</v>
      </c>
      <c r="G51">
        <v>153633</v>
      </c>
      <c r="H51">
        <v>31564</v>
      </c>
    </row>
    <row r="52" spans="1:8" x14ac:dyDescent="0.25">
      <c r="A52">
        <v>2023</v>
      </c>
      <c r="B52" t="s">
        <v>9</v>
      </c>
      <c r="C52" t="s">
        <v>24</v>
      </c>
      <c r="D52" t="s">
        <v>26</v>
      </c>
      <c r="E52">
        <v>200</v>
      </c>
      <c r="F52">
        <v>229</v>
      </c>
      <c r="G52">
        <v>45800</v>
      </c>
      <c r="H52">
        <v>6324</v>
      </c>
    </row>
    <row r="53" spans="1:8" x14ac:dyDescent="0.25">
      <c r="A53">
        <v>2023</v>
      </c>
      <c r="B53" t="s">
        <v>9</v>
      </c>
      <c r="C53" t="s">
        <v>24</v>
      </c>
      <c r="D53" t="s">
        <v>27</v>
      </c>
      <c r="E53">
        <v>362</v>
      </c>
      <c r="F53">
        <v>240</v>
      </c>
      <c r="G53">
        <v>86880</v>
      </c>
      <c r="H53">
        <v>15168</v>
      </c>
    </row>
    <row r="54" spans="1:8" x14ac:dyDescent="0.25">
      <c r="A54">
        <v>2023</v>
      </c>
      <c r="B54" t="s">
        <v>9</v>
      </c>
      <c r="C54" t="s">
        <v>24</v>
      </c>
      <c r="D54" t="s">
        <v>28</v>
      </c>
      <c r="E54">
        <v>200</v>
      </c>
      <c r="F54">
        <v>234</v>
      </c>
      <c r="G54">
        <v>46800</v>
      </c>
      <c r="H54">
        <v>11684</v>
      </c>
    </row>
    <row r="55" spans="1:8" x14ac:dyDescent="0.25">
      <c r="A55">
        <v>2023</v>
      </c>
      <c r="B55" t="s">
        <v>9</v>
      </c>
      <c r="C55" t="s">
        <v>24</v>
      </c>
      <c r="D55" t="s">
        <v>29</v>
      </c>
      <c r="E55">
        <v>277</v>
      </c>
      <c r="F55">
        <v>263</v>
      </c>
      <c r="G55">
        <v>72851</v>
      </c>
      <c r="H55">
        <v>12778</v>
      </c>
    </row>
    <row r="56" spans="1:8" x14ac:dyDescent="0.25">
      <c r="A56">
        <v>2023</v>
      </c>
      <c r="B56" t="s">
        <v>9</v>
      </c>
      <c r="C56" t="s">
        <v>24</v>
      </c>
      <c r="D56" t="s">
        <v>30</v>
      </c>
      <c r="E56">
        <v>138</v>
      </c>
      <c r="F56">
        <v>227</v>
      </c>
      <c r="G56">
        <v>31326</v>
      </c>
      <c r="H56">
        <v>4754</v>
      </c>
    </row>
    <row r="57" spans="1:8" x14ac:dyDescent="0.25">
      <c r="A57">
        <v>2023</v>
      </c>
      <c r="B57" t="s">
        <v>9</v>
      </c>
      <c r="C57" t="s">
        <v>25</v>
      </c>
      <c r="D57" t="s">
        <v>26</v>
      </c>
      <c r="E57">
        <v>213</v>
      </c>
      <c r="F57">
        <v>327</v>
      </c>
      <c r="G57">
        <v>69651</v>
      </c>
      <c r="H57">
        <v>12078</v>
      </c>
    </row>
    <row r="58" spans="1:8" x14ac:dyDescent="0.25">
      <c r="A58">
        <v>2023</v>
      </c>
      <c r="B58" t="s">
        <v>9</v>
      </c>
      <c r="C58" t="s">
        <v>25</v>
      </c>
      <c r="D58" t="s">
        <v>27</v>
      </c>
      <c r="E58">
        <v>249</v>
      </c>
      <c r="F58">
        <v>363</v>
      </c>
      <c r="G58">
        <v>90387</v>
      </c>
      <c r="H58">
        <v>17074</v>
      </c>
    </row>
    <row r="59" spans="1:8" x14ac:dyDescent="0.25">
      <c r="A59">
        <v>2023</v>
      </c>
      <c r="B59" t="s">
        <v>9</v>
      </c>
      <c r="C59" t="s">
        <v>25</v>
      </c>
      <c r="D59" t="s">
        <v>28</v>
      </c>
      <c r="E59">
        <v>294</v>
      </c>
      <c r="F59">
        <v>347</v>
      </c>
      <c r="G59">
        <v>102018</v>
      </c>
      <c r="H59">
        <v>13907</v>
      </c>
    </row>
    <row r="60" spans="1:8" x14ac:dyDescent="0.25">
      <c r="A60">
        <v>2023</v>
      </c>
      <c r="B60" t="s">
        <v>9</v>
      </c>
      <c r="C60" t="s">
        <v>25</v>
      </c>
      <c r="D60" t="s">
        <v>29</v>
      </c>
      <c r="E60">
        <v>389</v>
      </c>
      <c r="F60">
        <v>347</v>
      </c>
      <c r="G60">
        <v>134983</v>
      </c>
      <c r="H60">
        <v>26300</v>
      </c>
    </row>
    <row r="61" spans="1:8" x14ac:dyDescent="0.25">
      <c r="A61">
        <v>2023</v>
      </c>
      <c r="B61" t="s">
        <v>9</v>
      </c>
      <c r="C61" t="s">
        <v>25</v>
      </c>
      <c r="D61" t="s">
        <v>30</v>
      </c>
      <c r="E61">
        <v>288</v>
      </c>
      <c r="F61">
        <v>349</v>
      </c>
      <c r="G61">
        <v>100512</v>
      </c>
      <c r="H61">
        <v>22360</v>
      </c>
    </row>
    <row r="62" spans="1:8" x14ac:dyDescent="0.25">
      <c r="A62">
        <v>2023</v>
      </c>
      <c r="B62" t="s">
        <v>10</v>
      </c>
      <c r="C62" t="s">
        <v>20</v>
      </c>
      <c r="D62" t="s">
        <v>26</v>
      </c>
      <c r="E62">
        <v>234</v>
      </c>
      <c r="F62">
        <v>1330</v>
      </c>
      <c r="G62">
        <v>311220</v>
      </c>
      <c r="H62">
        <v>46096</v>
      </c>
    </row>
    <row r="63" spans="1:8" x14ac:dyDescent="0.25">
      <c r="A63">
        <v>2023</v>
      </c>
      <c r="B63" t="s">
        <v>10</v>
      </c>
      <c r="C63" t="s">
        <v>20</v>
      </c>
      <c r="D63" t="s">
        <v>27</v>
      </c>
      <c r="E63">
        <v>354</v>
      </c>
      <c r="F63">
        <v>1257</v>
      </c>
      <c r="G63">
        <v>444978</v>
      </c>
      <c r="H63">
        <v>89722</v>
      </c>
    </row>
    <row r="64" spans="1:8" x14ac:dyDescent="0.25">
      <c r="A64">
        <v>2023</v>
      </c>
      <c r="B64" t="s">
        <v>10</v>
      </c>
      <c r="C64" t="s">
        <v>20</v>
      </c>
      <c r="D64" t="s">
        <v>28</v>
      </c>
      <c r="E64">
        <v>237</v>
      </c>
      <c r="F64">
        <v>1184</v>
      </c>
      <c r="G64">
        <v>280608</v>
      </c>
      <c r="H64">
        <v>32108</v>
      </c>
    </row>
    <row r="65" spans="1:8" x14ac:dyDescent="0.25">
      <c r="A65">
        <v>2023</v>
      </c>
      <c r="B65" t="s">
        <v>10</v>
      </c>
      <c r="C65" t="s">
        <v>20</v>
      </c>
      <c r="D65" t="s">
        <v>29</v>
      </c>
      <c r="E65">
        <v>217</v>
      </c>
      <c r="F65">
        <v>1235</v>
      </c>
      <c r="G65">
        <v>267995</v>
      </c>
      <c r="H65">
        <v>60474</v>
      </c>
    </row>
    <row r="66" spans="1:8" x14ac:dyDescent="0.25">
      <c r="A66">
        <v>2023</v>
      </c>
      <c r="B66" t="s">
        <v>10</v>
      </c>
      <c r="C66" t="s">
        <v>20</v>
      </c>
      <c r="D66" t="s">
        <v>30</v>
      </c>
      <c r="E66">
        <v>363</v>
      </c>
      <c r="F66">
        <v>1182</v>
      </c>
      <c r="G66">
        <v>429066</v>
      </c>
      <c r="H66">
        <v>50209</v>
      </c>
    </row>
    <row r="67" spans="1:8" x14ac:dyDescent="0.25">
      <c r="A67">
        <v>2023</v>
      </c>
      <c r="B67" t="s">
        <v>10</v>
      </c>
      <c r="C67" t="s">
        <v>21</v>
      </c>
      <c r="D67" t="s">
        <v>26</v>
      </c>
      <c r="E67">
        <v>241</v>
      </c>
      <c r="F67">
        <v>828</v>
      </c>
      <c r="G67">
        <v>199548</v>
      </c>
      <c r="H67">
        <v>40781</v>
      </c>
    </row>
    <row r="68" spans="1:8" x14ac:dyDescent="0.25">
      <c r="A68">
        <v>2023</v>
      </c>
      <c r="B68" t="s">
        <v>10</v>
      </c>
      <c r="C68" t="s">
        <v>21</v>
      </c>
      <c r="D68" t="s">
        <v>27</v>
      </c>
      <c r="E68">
        <v>359</v>
      </c>
      <c r="F68">
        <v>851</v>
      </c>
      <c r="G68">
        <v>305509</v>
      </c>
      <c r="H68">
        <v>68001</v>
      </c>
    </row>
    <row r="69" spans="1:8" x14ac:dyDescent="0.25">
      <c r="A69">
        <v>2023</v>
      </c>
      <c r="B69" t="s">
        <v>10</v>
      </c>
      <c r="C69" t="s">
        <v>21</v>
      </c>
      <c r="D69" t="s">
        <v>28</v>
      </c>
      <c r="E69">
        <v>145</v>
      </c>
      <c r="F69">
        <v>772</v>
      </c>
      <c r="G69">
        <v>111940</v>
      </c>
      <c r="H69">
        <v>27922</v>
      </c>
    </row>
    <row r="70" spans="1:8" x14ac:dyDescent="0.25">
      <c r="A70">
        <v>2023</v>
      </c>
      <c r="B70" t="s">
        <v>10</v>
      </c>
      <c r="C70" t="s">
        <v>21</v>
      </c>
      <c r="D70" t="s">
        <v>29</v>
      </c>
      <c r="E70">
        <v>349</v>
      </c>
      <c r="F70">
        <v>899</v>
      </c>
      <c r="G70">
        <v>313751</v>
      </c>
      <c r="H70">
        <v>73751</v>
      </c>
    </row>
    <row r="71" spans="1:8" x14ac:dyDescent="0.25">
      <c r="A71">
        <v>2023</v>
      </c>
      <c r="B71" t="s">
        <v>10</v>
      </c>
      <c r="C71" t="s">
        <v>21</v>
      </c>
      <c r="D71" t="s">
        <v>30</v>
      </c>
      <c r="E71">
        <v>92</v>
      </c>
      <c r="F71">
        <v>775</v>
      </c>
      <c r="G71">
        <v>71300</v>
      </c>
      <c r="H71">
        <v>14620</v>
      </c>
    </row>
    <row r="72" spans="1:8" x14ac:dyDescent="0.25">
      <c r="A72">
        <v>2023</v>
      </c>
      <c r="B72" t="s">
        <v>10</v>
      </c>
      <c r="C72" t="s">
        <v>22</v>
      </c>
      <c r="D72" t="s">
        <v>26</v>
      </c>
      <c r="E72">
        <v>301</v>
      </c>
      <c r="F72">
        <v>134</v>
      </c>
      <c r="G72">
        <v>40334</v>
      </c>
      <c r="H72">
        <v>9400</v>
      </c>
    </row>
    <row r="73" spans="1:8" x14ac:dyDescent="0.25">
      <c r="A73">
        <v>2023</v>
      </c>
      <c r="B73" t="s">
        <v>10</v>
      </c>
      <c r="C73" t="s">
        <v>22</v>
      </c>
      <c r="D73" t="s">
        <v>27</v>
      </c>
      <c r="E73">
        <v>208</v>
      </c>
      <c r="F73">
        <v>134</v>
      </c>
      <c r="G73">
        <v>27872</v>
      </c>
      <c r="H73">
        <v>6344</v>
      </c>
    </row>
    <row r="74" spans="1:8" x14ac:dyDescent="0.25">
      <c r="A74">
        <v>2023</v>
      </c>
      <c r="B74" t="s">
        <v>10</v>
      </c>
      <c r="C74" t="s">
        <v>22</v>
      </c>
      <c r="D74" t="s">
        <v>28</v>
      </c>
      <c r="E74">
        <v>201</v>
      </c>
      <c r="F74">
        <v>112</v>
      </c>
      <c r="G74">
        <v>22512</v>
      </c>
      <c r="H74">
        <v>5285</v>
      </c>
    </row>
    <row r="75" spans="1:8" x14ac:dyDescent="0.25">
      <c r="A75">
        <v>2023</v>
      </c>
      <c r="B75" t="s">
        <v>10</v>
      </c>
      <c r="C75" t="s">
        <v>22</v>
      </c>
      <c r="D75" t="s">
        <v>29</v>
      </c>
      <c r="E75">
        <v>349</v>
      </c>
      <c r="F75">
        <v>108</v>
      </c>
      <c r="G75">
        <v>37692</v>
      </c>
      <c r="H75">
        <v>4342</v>
      </c>
    </row>
    <row r="76" spans="1:8" x14ac:dyDescent="0.25">
      <c r="A76">
        <v>2023</v>
      </c>
      <c r="B76" t="s">
        <v>10</v>
      </c>
      <c r="C76" t="s">
        <v>22</v>
      </c>
      <c r="D76" t="s">
        <v>30</v>
      </c>
      <c r="E76">
        <v>186</v>
      </c>
      <c r="F76">
        <v>137</v>
      </c>
      <c r="G76">
        <v>25482</v>
      </c>
      <c r="H76">
        <v>3633</v>
      </c>
    </row>
    <row r="77" spans="1:8" x14ac:dyDescent="0.25">
      <c r="A77">
        <v>2023</v>
      </c>
      <c r="B77" t="s">
        <v>10</v>
      </c>
      <c r="C77" t="s">
        <v>23</v>
      </c>
      <c r="D77" t="s">
        <v>26</v>
      </c>
      <c r="E77">
        <v>286</v>
      </c>
      <c r="F77">
        <v>643</v>
      </c>
      <c r="G77">
        <v>183898</v>
      </c>
      <c r="H77">
        <v>36373</v>
      </c>
    </row>
    <row r="78" spans="1:8" x14ac:dyDescent="0.25">
      <c r="A78">
        <v>2023</v>
      </c>
      <c r="B78" t="s">
        <v>10</v>
      </c>
      <c r="C78" t="s">
        <v>23</v>
      </c>
      <c r="D78" t="s">
        <v>27</v>
      </c>
      <c r="E78">
        <v>260</v>
      </c>
      <c r="F78">
        <v>566</v>
      </c>
      <c r="G78">
        <v>147160</v>
      </c>
      <c r="H78">
        <v>15114</v>
      </c>
    </row>
    <row r="79" spans="1:8" x14ac:dyDescent="0.25">
      <c r="A79">
        <v>2023</v>
      </c>
      <c r="B79" t="s">
        <v>10</v>
      </c>
      <c r="C79" t="s">
        <v>23</v>
      </c>
      <c r="D79" t="s">
        <v>28</v>
      </c>
      <c r="E79">
        <v>373</v>
      </c>
      <c r="F79">
        <v>566</v>
      </c>
      <c r="G79">
        <v>211118</v>
      </c>
      <c r="H79">
        <v>32717</v>
      </c>
    </row>
    <row r="80" spans="1:8" x14ac:dyDescent="0.25">
      <c r="A80">
        <v>2023</v>
      </c>
      <c r="B80" t="s">
        <v>10</v>
      </c>
      <c r="C80" t="s">
        <v>23</v>
      </c>
      <c r="D80" t="s">
        <v>29</v>
      </c>
      <c r="E80">
        <v>224</v>
      </c>
      <c r="F80">
        <v>648</v>
      </c>
      <c r="G80">
        <v>145152</v>
      </c>
      <c r="H80">
        <v>21222</v>
      </c>
    </row>
    <row r="81" spans="1:8" x14ac:dyDescent="0.25">
      <c r="A81">
        <v>2023</v>
      </c>
      <c r="B81" t="s">
        <v>10</v>
      </c>
      <c r="C81" t="s">
        <v>23</v>
      </c>
      <c r="D81" t="s">
        <v>30</v>
      </c>
      <c r="E81">
        <v>267</v>
      </c>
      <c r="F81">
        <v>554</v>
      </c>
      <c r="G81">
        <v>147918</v>
      </c>
      <c r="H81">
        <v>22950</v>
      </c>
    </row>
    <row r="82" spans="1:8" x14ac:dyDescent="0.25">
      <c r="A82">
        <v>2023</v>
      </c>
      <c r="B82" t="s">
        <v>10</v>
      </c>
      <c r="C82" t="s">
        <v>24</v>
      </c>
      <c r="D82" t="s">
        <v>26</v>
      </c>
      <c r="E82">
        <v>106</v>
      </c>
      <c r="F82">
        <v>240</v>
      </c>
      <c r="G82">
        <v>25440</v>
      </c>
      <c r="H82">
        <v>6257</v>
      </c>
    </row>
    <row r="83" spans="1:8" x14ac:dyDescent="0.25">
      <c r="A83">
        <v>2023</v>
      </c>
      <c r="B83" t="s">
        <v>10</v>
      </c>
      <c r="C83" t="s">
        <v>24</v>
      </c>
      <c r="D83" t="s">
        <v>27</v>
      </c>
      <c r="E83">
        <v>136</v>
      </c>
      <c r="F83">
        <v>280</v>
      </c>
      <c r="G83">
        <v>38080</v>
      </c>
      <c r="H83">
        <v>7413</v>
      </c>
    </row>
    <row r="84" spans="1:8" x14ac:dyDescent="0.25">
      <c r="A84">
        <v>2023</v>
      </c>
      <c r="B84" t="s">
        <v>10</v>
      </c>
      <c r="C84" t="s">
        <v>24</v>
      </c>
      <c r="D84" t="s">
        <v>28</v>
      </c>
      <c r="E84">
        <v>320</v>
      </c>
      <c r="F84">
        <v>246</v>
      </c>
      <c r="G84">
        <v>78720</v>
      </c>
      <c r="H84">
        <v>15489</v>
      </c>
    </row>
    <row r="85" spans="1:8" x14ac:dyDescent="0.25">
      <c r="A85">
        <v>2023</v>
      </c>
      <c r="B85" t="s">
        <v>10</v>
      </c>
      <c r="C85" t="s">
        <v>24</v>
      </c>
      <c r="D85" t="s">
        <v>29</v>
      </c>
      <c r="E85">
        <v>415</v>
      </c>
      <c r="F85">
        <v>256</v>
      </c>
      <c r="G85">
        <v>106240</v>
      </c>
      <c r="H85">
        <v>19739</v>
      </c>
    </row>
    <row r="86" spans="1:8" x14ac:dyDescent="0.25">
      <c r="A86">
        <v>2023</v>
      </c>
      <c r="B86" t="s">
        <v>10</v>
      </c>
      <c r="C86" t="s">
        <v>24</v>
      </c>
      <c r="D86" t="s">
        <v>30</v>
      </c>
      <c r="E86">
        <v>284</v>
      </c>
      <c r="F86">
        <v>265</v>
      </c>
      <c r="G86">
        <v>75260</v>
      </c>
      <c r="H86">
        <v>9525</v>
      </c>
    </row>
    <row r="87" spans="1:8" x14ac:dyDescent="0.25">
      <c r="A87">
        <v>2023</v>
      </c>
      <c r="B87" t="s">
        <v>10</v>
      </c>
      <c r="C87" t="s">
        <v>25</v>
      </c>
      <c r="D87" t="s">
        <v>26</v>
      </c>
      <c r="E87">
        <v>313</v>
      </c>
      <c r="F87">
        <v>356</v>
      </c>
      <c r="G87">
        <v>111428</v>
      </c>
      <c r="H87">
        <v>15815</v>
      </c>
    </row>
    <row r="88" spans="1:8" x14ac:dyDescent="0.25">
      <c r="A88">
        <v>2023</v>
      </c>
      <c r="B88" t="s">
        <v>10</v>
      </c>
      <c r="C88" t="s">
        <v>25</v>
      </c>
      <c r="D88" t="s">
        <v>27</v>
      </c>
      <c r="E88">
        <v>89</v>
      </c>
      <c r="F88">
        <v>347</v>
      </c>
      <c r="G88">
        <v>30883</v>
      </c>
      <c r="H88">
        <v>3159</v>
      </c>
    </row>
    <row r="89" spans="1:8" x14ac:dyDescent="0.25">
      <c r="A89">
        <v>2023</v>
      </c>
      <c r="B89" t="s">
        <v>10</v>
      </c>
      <c r="C89" t="s">
        <v>25</v>
      </c>
      <c r="D89" t="s">
        <v>28</v>
      </c>
      <c r="E89">
        <v>376</v>
      </c>
      <c r="F89">
        <v>343</v>
      </c>
      <c r="G89">
        <v>128968</v>
      </c>
      <c r="H89">
        <v>23590</v>
      </c>
    </row>
    <row r="90" spans="1:8" x14ac:dyDescent="0.25">
      <c r="A90">
        <v>2023</v>
      </c>
      <c r="B90" t="s">
        <v>10</v>
      </c>
      <c r="C90" t="s">
        <v>25</v>
      </c>
      <c r="D90" t="s">
        <v>29</v>
      </c>
      <c r="E90">
        <v>182</v>
      </c>
      <c r="F90">
        <v>399</v>
      </c>
      <c r="G90">
        <v>72618</v>
      </c>
      <c r="H90">
        <v>16553</v>
      </c>
    </row>
    <row r="91" spans="1:8" x14ac:dyDescent="0.25">
      <c r="A91">
        <v>2023</v>
      </c>
      <c r="B91" t="s">
        <v>10</v>
      </c>
      <c r="C91" t="s">
        <v>25</v>
      </c>
      <c r="D91" t="s">
        <v>30</v>
      </c>
      <c r="E91">
        <v>283</v>
      </c>
      <c r="F91">
        <v>341</v>
      </c>
      <c r="G91">
        <v>96503</v>
      </c>
      <c r="H91">
        <v>12413</v>
      </c>
    </row>
    <row r="92" spans="1:8" x14ac:dyDescent="0.25">
      <c r="A92">
        <v>2023</v>
      </c>
      <c r="B92" t="s">
        <v>11</v>
      </c>
      <c r="C92" t="s">
        <v>20</v>
      </c>
      <c r="D92" t="s">
        <v>26</v>
      </c>
      <c r="E92">
        <v>250</v>
      </c>
      <c r="F92">
        <v>1175</v>
      </c>
      <c r="G92">
        <v>293750</v>
      </c>
      <c r="H92">
        <v>36843</v>
      </c>
    </row>
    <row r="93" spans="1:8" x14ac:dyDescent="0.25">
      <c r="A93">
        <v>2023</v>
      </c>
      <c r="B93" t="s">
        <v>11</v>
      </c>
      <c r="C93" t="s">
        <v>20</v>
      </c>
      <c r="D93" t="s">
        <v>27</v>
      </c>
      <c r="E93">
        <v>375</v>
      </c>
      <c r="F93">
        <v>1198</v>
      </c>
      <c r="G93">
        <v>449250</v>
      </c>
      <c r="H93">
        <v>101814</v>
      </c>
    </row>
    <row r="94" spans="1:8" x14ac:dyDescent="0.25">
      <c r="A94">
        <v>2023</v>
      </c>
      <c r="B94" t="s">
        <v>11</v>
      </c>
      <c r="C94" t="s">
        <v>20</v>
      </c>
      <c r="D94" t="s">
        <v>28</v>
      </c>
      <c r="E94">
        <v>263</v>
      </c>
      <c r="F94">
        <v>1109</v>
      </c>
      <c r="G94">
        <v>291667</v>
      </c>
      <c r="H94">
        <v>56073</v>
      </c>
    </row>
    <row r="95" spans="1:8" x14ac:dyDescent="0.25">
      <c r="A95">
        <v>2023</v>
      </c>
      <c r="B95" t="s">
        <v>11</v>
      </c>
      <c r="C95" t="s">
        <v>20</v>
      </c>
      <c r="D95" t="s">
        <v>29</v>
      </c>
      <c r="E95">
        <v>239</v>
      </c>
      <c r="F95">
        <v>1122</v>
      </c>
      <c r="G95">
        <v>268158</v>
      </c>
      <c r="H95">
        <v>47664</v>
      </c>
    </row>
    <row r="96" spans="1:8" x14ac:dyDescent="0.25">
      <c r="A96">
        <v>2023</v>
      </c>
      <c r="B96" t="s">
        <v>11</v>
      </c>
      <c r="C96" t="s">
        <v>20</v>
      </c>
      <c r="D96" t="s">
        <v>30</v>
      </c>
      <c r="E96">
        <v>367</v>
      </c>
      <c r="F96">
        <v>1334</v>
      </c>
      <c r="G96">
        <v>489578</v>
      </c>
      <c r="H96">
        <v>58990</v>
      </c>
    </row>
    <row r="97" spans="1:8" x14ac:dyDescent="0.25">
      <c r="A97">
        <v>2023</v>
      </c>
      <c r="B97" t="s">
        <v>11</v>
      </c>
      <c r="C97" t="s">
        <v>21</v>
      </c>
      <c r="D97" t="s">
        <v>26</v>
      </c>
      <c r="E97">
        <v>339</v>
      </c>
      <c r="F97">
        <v>791</v>
      </c>
      <c r="G97">
        <v>268149</v>
      </c>
      <c r="H97">
        <v>38623</v>
      </c>
    </row>
    <row r="98" spans="1:8" x14ac:dyDescent="0.25">
      <c r="A98">
        <v>2023</v>
      </c>
      <c r="B98" t="s">
        <v>11</v>
      </c>
      <c r="C98" t="s">
        <v>21</v>
      </c>
      <c r="D98" t="s">
        <v>27</v>
      </c>
      <c r="E98">
        <v>340</v>
      </c>
      <c r="F98">
        <v>803</v>
      </c>
      <c r="G98">
        <v>273020</v>
      </c>
      <c r="H98">
        <v>37794</v>
      </c>
    </row>
    <row r="99" spans="1:8" x14ac:dyDescent="0.25">
      <c r="A99">
        <v>2023</v>
      </c>
      <c r="B99" t="s">
        <v>11</v>
      </c>
      <c r="C99" t="s">
        <v>21</v>
      </c>
      <c r="D99" t="s">
        <v>28</v>
      </c>
      <c r="E99">
        <v>95</v>
      </c>
      <c r="F99">
        <v>736</v>
      </c>
      <c r="G99">
        <v>69920</v>
      </c>
      <c r="H99">
        <v>7046</v>
      </c>
    </row>
    <row r="100" spans="1:8" x14ac:dyDescent="0.25">
      <c r="A100">
        <v>2023</v>
      </c>
      <c r="B100" t="s">
        <v>11</v>
      </c>
      <c r="C100" t="s">
        <v>21</v>
      </c>
      <c r="D100" t="s">
        <v>29</v>
      </c>
      <c r="E100">
        <v>119</v>
      </c>
      <c r="F100">
        <v>879</v>
      </c>
      <c r="G100">
        <v>104601</v>
      </c>
      <c r="H100">
        <v>20658</v>
      </c>
    </row>
    <row r="101" spans="1:8" x14ac:dyDescent="0.25">
      <c r="A101">
        <v>2023</v>
      </c>
      <c r="B101" t="s">
        <v>11</v>
      </c>
      <c r="C101" t="s">
        <v>21</v>
      </c>
      <c r="D101" t="s">
        <v>30</v>
      </c>
      <c r="E101">
        <v>230</v>
      </c>
      <c r="F101">
        <v>898</v>
      </c>
      <c r="G101">
        <v>206540</v>
      </c>
      <c r="H101">
        <v>31125</v>
      </c>
    </row>
    <row r="102" spans="1:8" x14ac:dyDescent="0.25">
      <c r="A102">
        <v>2023</v>
      </c>
      <c r="B102" t="s">
        <v>11</v>
      </c>
      <c r="C102" t="s">
        <v>22</v>
      </c>
      <c r="D102" t="s">
        <v>26</v>
      </c>
      <c r="E102">
        <v>178</v>
      </c>
      <c r="F102">
        <v>125</v>
      </c>
      <c r="G102">
        <v>22250</v>
      </c>
      <c r="H102">
        <v>3688</v>
      </c>
    </row>
    <row r="103" spans="1:8" x14ac:dyDescent="0.25">
      <c r="A103">
        <v>2023</v>
      </c>
      <c r="B103" t="s">
        <v>11</v>
      </c>
      <c r="C103" t="s">
        <v>22</v>
      </c>
      <c r="D103" t="s">
        <v>27</v>
      </c>
      <c r="E103">
        <v>135</v>
      </c>
      <c r="F103">
        <v>121</v>
      </c>
      <c r="G103">
        <v>16335</v>
      </c>
      <c r="H103">
        <v>2963</v>
      </c>
    </row>
    <row r="104" spans="1:8" x14ac:dyDescent="0.25">
      <c r="A104">
        <v>2023</v>
      </c>
      <c r="B104" t="s">
        <v>11</v>
      </c>
      <c r="C104" t="s">
        <v>22</v>
      </c>
      <c r="D104" t="s">
        <v>28</v>
      </c>
      <c r="E104">
        <v>212</v>
      </c>
      <c r="F104">
        <v>133</v>
      </c>
      <c r="G104">
        <v>28196</v>
      </c>
      <c r="H104">
        <v>6458</v>
      </c>
    </row>
    <row r="105" spans="1:8" x14ac:dyDescent="0.25">
      <c r="A105">
        <v>2023</v>
      </c>
      <c r="B105" t="s">
        <v>11</v>
      </c>
      <c r="C105" t="s">
        <v>22</v>
      </c>
      <c r="D105" t="s">
        <v>29</v>
      </c>
      <c r="E105">
        <v>400</v>
      </c>
      <c r="F105">
        <v>109</v>
      </c>
      <c r="G105">
        <v>43600</v>
      </c>
      <c r="H105">
        <v>9739</v>
      </c>
    </row>
    <row r="106" spans="1:8" x14ac:dyDescent="0.25">
      <c r="A106">
        <v>2023</v>
      </c>
      <c r="B106" t="s">
        <v>11</v>
      </c>
      <c r="C106" t="s">
        <v>22</v>
      </c>
      <c r="D106" t="s">
        <v>30</v>
      </c>
      <c r="E106">
        <v>138</v>
      </c>
      <c r="F106">
        <v>124</v>
      </c>
      <c r="G106">
        <v>17112</v>
      </c>
      <c r="H106">
        <v>2549</v>
      </c>
    </row>
    <row r="107" spans="1:8" x14ac:dyDescent="0.25">
      <c r="A107">
        <v>2023</v>
      </c>
      <c r="B107" t="s">
        <v>11</v>
      </c>
      <c r="C107" t="s">
        <v>23</v>
      </c>
      <c r="D107" t="s">
        <v>26</v>
      </c>
      <c r="E107">
        <v>357</v>
      </c>
      <c r="F107">
        <v>655</v>
      </c>
      <c r="G107">
        <v>233835</v>
      </c>
      <c r="H107">
        <v>30953</v>
      </c>
    </row>
    <row r="108" spans="1:8" x14ac:dyDescent="0.25">
      <c r="A108">
        <v>2023</v>
      </c>
      <c r="B108" t="s">
        <v>11</v>
      </c>
      <c r="C108" t="s">
        <v>23</v>
      </c>
      <c r="D108" t="s">
        <v>27</v>
      </c>
      <c r="E108">
        <v>87</v>
      </c>
      <c r="F108">
        <v>608</v>
      </c>
      <c r="G108">
        <v>52896</v>
      </c>
      <c r="H108">
        <v>11970</v>
      </c>
    </row>
    <row r="109" spans="1:8" x14ac:dyDescent="0.25">
      <c r="A109">
        <v>2023</v>
      </c>
      <c r="B109" t="s">
        <v>11</v>
      </c>
      <c r="C109" t="s">
        <v>23</v>
      </c>
      <c r="D109" t="s">
        <v>28</v>
      </c>
      <c r="E109">
        <v>131</v>
      </c>
      <c r="F109">
        <v>644</v>
      </c>
      <c r="G109">
        <v>84364</v>
      </c>
      <c r="H109">
        <v>10187</v>
      </c>
    </row>
    <row r="110" spans="1:8" x14ac:dyDescent="0.25">
      <c r="A110">
        <v>2023</v>
      </c>
      <c r="B110" t="s">
        <v>11</v>
      </c>
      <c r="C110" t="s">
        <v>23</v>
      </c>
      <c r="D110" t="s">
        <v>29</v>
      </c>
      <c r="E110">
        <v>232</v>
      </c>
      <c r="F110">
        <v>686</v>
      </c>
      <c r="G110">
        <v>159152</v>
      </c>
      <c r="H110">
        <v>28240</v>
      </c>
    </row>
    <row r="111" spans="1:8" x14ac:dyDescent="0.25">
      <c r="A111">
        <v>2023</v>
      </c>
      <c r="B111" t="s">
        <v>11</v>
      </c>
      <c r="C111" t="s">
        <v>23</v>
      </c>
      <c r="D111" t="s">
        <v>30</v>
      </c>
      <c r="E111">
        <v>247</v>
      </c>
      <c r="F111">
        <v>546</v>
      </c>
      <c r="G111">
        <v>134862</v>
      </c>
      <c r="H111">
        <v>21554</v>
      </c>
    </row>
    <row r="112" spans="1:8" x14ac:dyDescent="0.25">
      <c r="A112">
        <v>2023</v>
      </c>
      <c r="B112" t="s">
        <v>11</v>
      </c>
      <c r="C112" t="s">
        <v>24</v>
      </c>
      <c r="D112" t="s">
        <v>26</v>
      </c>
      <c r="E112">
        <v>369</v>
      </c>
      <c r="F112">
        <v>252</v>
      </c>
      <c r="G112">
        <v>92988</v>
      </c>
      <c r="H112">
        <v>10393</v>
      </c>
    </row>
    <row r="113" spans="1:8" x14ac:dyDescent="0.25">
      <c r="A113">
        <v>2023</v>
      </c>
      <c r="B113" t="s">
        <v>11</v>
      </c>
      <c r="C113" t="s">
        <v>24</v>
      </c>
      <c r="D113" t="s">
        <v>27</v>
      </c>
      <c r="E113">
        <v>321</v>
      </c>
      <c r="F113">
        <v>236</v>
      </c>
      <c r="G113">
        <v>75756</v>
      </c>
      <c r="H113">
        <v>8494</v>
      </c>
    </row>
    <row r="114" spans="1:8" x14ac:dyDescent="0.25">
      <c r="A114">
        <v>2023</v>
      </c>
      <c r="B114" t="s">
        <v>11</v>
      </c>
      <c r="C114" t="s">
        <v>24</v>
      </c>
      <c r="D114" t="s">
        <v>28</v>
      </c>
      <c r="E114">
        <v>214</v>
      </c>
      <c r="F114">
        <v>268</v>
      </c>
      <c r="G114">
        <v>57352</v>
      </c>
      <c r="H114">
        <v>9253</v>
      </c>
    </row>
    <row r="115" spans="1:8" x14ac:dyDescent="0.25">
      <c r="A115">
        <v>2023</v>
      </c>
      <c r="B115" t="s">
        <v>11</v>
      </c>
      <c r="C115" t="s">
        <v>24</v>
      </c>
      <c r="D115" t="s">
        <v>29</v>
      </c>
      <c r="E115">
        <v>142</v>
      </c>
      <c r="F115">
        <v>282</v>
      </c>
      <c r="G115">
        <v>40044</v>
      </c>
      <c r="H115">
        <v>6661</v>
      </c>
    </row>
    <row r="116" spans="1:8" x14ac:dyDescent="0.25">
      <c r="A116">
        <v>2023</v>
      </c>
      <c r="B116" t="s">
        <v>11</v>
      </c>
      <c r="C116" t="s">
        <v>24</v>
      </c>
      <c r="D116" t="s">
        <v>30</v>
      </c>
      <c r="E116">
        <v>182</v>
      </c>
      <c r="F116">
        <v>259</v>
      </c>
      <c r="G116">
        <v>47138</v>
      </c>
      <c r="H116">
        <v>9766</v>
      </c>
    </row>
    <row r="117" spans="1:8" x14ac:dyDescent="0.25">
      <c r="A117">
        <v>2023</v>
      </c>
      <c r="B117" t="s">
        <v>11</v>
      </c>
      <c r="C117" t="s">
        <v>25</v>
      </c>
      <c r="D117" t="s">
        <v>26</v>
      </c>
      <c r="E117">
        <v>329</v>
      </c>
      <c r="F117">
        <v>339</v>
      </c>
      <c r="G117">
        <v>111531</v>
      </c>
      <c r="H117">
        <v>27127</v>
      </c>
    </row>
    <row r="118" spans="1:8" x14ac:dyDescent="0.25">
      <c r="A118">
        <v>2023</v>
      </c>
      <c r="B118" t="s">
        <v>11</v>
      </c>
      <c r="C118" t="s">
        <v>25</v>
      </c>
      <c r="D118" t="s">
        <v>27</v>
      </c>
      <c r="E118">
        <v>282</v>
      </c>
      <c r="F118">
        <v>363</v>
      </c>
      <c r="G118">
        <v>102366</v>
      </c>
      <c r="H118">
        <v>19629</v>
      </c>
    </row>
    <row r="119" spans="1:8" x14ac:dyDescent="0.25">
      <c r="A119">
        <v>2023</v>
      </c>
      <c r="B119" t="s">
        <v>11</v>
      </c>
      <c r="C119" t="s">
        <v>25</v>
      </c>
      <c r="D119" t="s">
        <v>28</v>
      </c>
      <c r="E119">
        <v>340</v>
      </c>
      <c r="F119">
        <v>319</v>
      </c>
      <c r="G119">
        <v>108460</v>
      </c>
      <c r="H119">
        <v>20054</v>
      </c>
    </row>
    <row r="120" spans="1:8" x14ac:dyDescent="0.25">
      <c r="A120">
        <v>2023</v>
      </c>
      <c r="B120" t="s">
        <v>11</v>
      </c>
      <c r="C120" t="s">
        <v>25</v>
      </c>
      <c r="D120" t="s">
        <v>29</v>
      </c>
      <c r="E120">
        <v>172</v>
      </c>
      <c r="F120">
        <v>316</v>
      </c>
      <c r="G120">
        <v>54352</v>
      </c>
      <c r="H120">
        <v>6381</v>
      </c>
    </row>
    <row r="121" spans="1:8" x14ac:dyDescent="0.25">
      <c r="A121">
        <v>2023</v>
      </c>
      <c r="B121" t="s">
        <v>11</v>
      </c>
      <c r="C121" t="s">
        <v>25</v>
      </c>
      <c r="D121" t="s">
        <v>30</v>
      </c>
      <c r="E121">
        <v>154</v>
      </c>
      <c r="F121">
        <v>323</v>
      </c>
      <c r="G121">
        <v>49742</v>
      </c>
      <c r="H121">
        <v>7297</v>
      </c>
    </row>
    <row r="122" spans="1:8" x14ac:dyDescent="0.25">
      <c r="A122">
        <v>2023</v>
      </c>
      <c r="B122" t="s">
        <v>12</v>
      </c>
      <c r="C122" t="s">
        <v>20</v>
      </c>
      <c r="D122" t="s">
        <v>26</v>
      </c>
      <c r="E122">
        <v>290</v>
      </c>
      <c r="F122">
        <v>1085</v>
      </c>
      <c r="G122">
        <v>314650</v>
      </c>
      <c r="H122">
        <v>67493</v>
      </c>
    </row>
    <row r="123" spans="1:8" x14ac:dyDescent="0.25">
      <c r="A123">
        <v>2023</v>
      </c>
      <c r="B123" t="s">
        <v>12</v>
      </c>
      <c r="C123" t="s">
        <v>20</v>
      </c>
      <c r="D123" t="s">
        <v>27</v>
      </c>
      <c r="E123">
        <v>120</v>
      </c>
      <c r="F123">
        <v>1183</v>
      </c>
      <c r="G123">
        <v>141960</v>
      </c>
      <c r="H123">
        <v>24090</v>
      </c>
    </row>
    <row r="124" spans="1:8" x14ac:dyDescent="0.25">
      <c r="A124">
        <v>2023</v>
      </c>
      <c r="B124" t="s">
        <v>12</v>
      </c>
      <c r="C124" t="s">
        <v>20</v>
      </c>
      <c r="D124" t="s">
        <v>28</v>
      </c>
      <c r="E124">
        <v>104</v>
      </c>
      <c r="F124">
        <v>1094</v>
      </c>
      <c r="G124">
        <v>113776</v>
      </c>
      <c r="H124">
        <v>27576</v>
      </c>
    </row>
    <row r="125" spans="1:8" x14ac:dyDescent="0.25">
      <c r="A125">
        <v>2023</v>
      </c>
      <c r="B125" t="s">
        <v>12</v>
      </c>
      <c r="C125" t="s">
        <v>20</v>
      </c>
      <c r="D125" t="s">
        <v>29</v>
      </c>
      <c r="E125">
        <v>183</v>
      </c>
      <c r="F125">
        <v>1093</v>
      </c>
      <c r="G125">
        <v>200019</v>
      </c>
      <c r="H125">
        <v>31241</v>
      </c>
    </row>
    <row r="126" spans="1:8" x14ac:dyDescent="0.25">
      <c r="A126">
        <v>2023</v>
      </c>
      <c r="B126" t="s">
        <v>12</v>
      </c>
      <c r="C126" t="s">
        <v>20</v>
      </c>
      <c r="D126" t="s">
        <v>30</v>
      </c>
      <c r="E126">
        <v>337</v>
      </c>
      <c r="F126">
        <v>1360</v>
      </c>
      <c r="G126">
        <v>458320</v>
      </c>
      <c r="H126">
        <v>80277</v>
      </c>
    </row>
    <row r="127" spans="1:8" x14ac:dyDescent="0.25">
      <c r="A127">
        <v>2023</v>
      </c>
      <c r="B127" t="s">
        <v>12</v>
      </c>
      <c r="C127" t="s">
        <v>21</v>
      </c>
      <c r="D127" t="s">
        <v>26</v>
      </c>
      <c r="E127">
        <v>85</v>
      </c>
      <c r="F127">
        <v>843</v>
      </c>
      <c r="G127">
        <v>71655</v>
      </c>
      <c r="H127">
        <v>17310</v>
      </c>
    </row>
    <row r="128" spans="1:8" x14ac:dyDescent="0.25">
      <c r="A128">
        <v>2023</v>
      </c>
      <c r="B128" t="s">
        <v>12</v>
      </c>
      <c r="C128" t="s">
        <v>21</v>
      </c>
      <c r="D128" t="s">
        <v>27</v>
      </c>
      <c r="E128">
        <v>345</v>
      </c>
      <c r="F128">
        <v>725</v>
      </c>
      <c r="G128">
        <v>250125</v>
      </c>
      <c r="H128">
        <v>46990</v>
      </c>
    </row>
    <row r="129" spans="1:8" x14ac:dyDescent="0.25">
      <c r="A129">
        <v>2023</v>
      </c>
      <c r="B129" t="s">
        <v>12</v>
      </c>
      <c r="C129" t="s">
        <v>21</v>
      </c>
      <c r="D129" t="s">
        <v>28</v>
      </c>
      <c r="E129">
        <v>236</v>
      </c>
      <c r="F129">
        <v>855</v>
      </c>
      <c r="G129">
        <v>201780</v>
      </c>
      <c r="H129">
        <v>37532</v>
      </c>
    </row>
    <row r="130" spans="1:8" x14ac:dyDescent="0.25">
      <c r="A130">
        <v>2023</v>
      </c>
      <c r="B130" t="s">
        <v>12</v>
      </c>
      <c r="C130" t="s">
        <v>21</v>
      </c>
      <c r="D130" t="s">
        <v>29</v>
      </c>
      <c r="E130">
        <v>114</v>
      </c>
      <c r="F130">
        <v>811</v>
      </c>
      <c r="G130">
        <v>92454</v>
      </c>
      <c r="H130">
        <v>16812</v>
      </c>
    </row>
    <row r="131" spans="1:8" x14ac:dyDescent="0.25">
      <c r="A131">
        <v>2023</v>
      </c>
      <c r="B131" t="s">
        <v>12</v>
      </c>
      <c r="C131" t="s">
        <v>21</v>
      </c>
      <c r="D131" t="s">
        <v>30</v>
      </c>
      <c r="E131">
        <v>184</v>
      </c>
      <c r="F131">
        <v>845</v>
      </c>
      <c r="G131">
        <v>155480</v>
      </c>
      <c r="H131">
        <v>34681</v>
      </c>
    </row>
    <row r="132" spans="1:8" x14ac:dyDescent="0.25">
      <c r="A132">
        <v>2023</v>
      </c>
      <c r="B132" t="s">
        <v>12</v>
      </c>
      <c r="C132" t="s">
        <v>22</v>
      </c>
      <c r="D132" t="s">
        <v>26</v>
      </c>
      <c r="E132">
        <v>253</v>
      </c>
      <c r="F132">
        <v>135</v>
      </c>
      <c r="G132">
        <v>34155</v>
      </c>
      <c r="H132">
        <v>4418</v>
      </c>
    </row>
    <row r="133" spans="1:8" x14ac:dyDescent="0.25">
      <c r="A133">
        <v>2023</v>
      </c>
      <c r="B133" t="s">
        <v>12</v>
      </c>
      <c r="C133" t="s">
        <v>22</v>
      </c>
      <c r="D133" t="s">
        <v>27</v>
      </c>
      <c r="E133">
        <v>93</v>
      </c>
      <c r="F133">
        <v>111</v>
      </c>
      <c r="G133">
        <v>10323</v>
      </c>
      <c r="H133">
        <v>1060</v>
      </c>
    </row>
    <row r="134" spans="1:8" x14ac:dyDescent="0.25">
      <c r="A134">
        <v>2023</v>
      </c>
      <c r="B134" t="s">
        <v>12</v>
      </c>
      <c r="C134" t="s">
        <v>22</v>
      </c>
      <c r="D134" t="s">
        <v>28</v>
      </c>
      <c r="E134">
        <v>329</v>
      </c>
      <c r="F134">
        <v>128</v>
      </c>
      <c r="G134">
        <v>42112</v>
      </c>
      <c r="H134">
        <v>4660</v>
      </c>
    </row>
    <row r="135" spans="1:8" x14ac:dyDescent="0.25">
      <c r="A135">
        <v>2023</v>
      </c>
      <c r="B135" t="s">
        <v>12</v>
      </c>
      <c r="C135" t="s">
        <v>22</v>
      </c>
      <c r="D135" t="s">
        <v>29</v>
      </c>
      <c r="E135">
        <v>351</v>
      </c>
      <c r="F135">
        <v>119</v>
      </c>
      <c r="G135">
        <v>41769</v>
      </c>
      <c r="H135">
        <v>8447</v>
      </c>
    </row>
    <row r="136" spans="1:8" x14ac:dyDescent="0.25">
      <c r="A136">
        <v>2023</v>
      </c>
      <c r="B136" t="s">
        <v>12</v>
      </c>
      <c r="C136" t="s">
        <v>22</v>
      </c>
      <c r="D136" t="s">
        <v>30</v>
      </c>
      <c r="E136">
        <v>198</v>
      </c>
      <c r="F136">
        <v>116</v>
      </c>
      <c r="G136">
        <v>22968</v>
      </c>
      <c r="H136">
        <v>2703</v>
      </c>
    </row>
    <row r="137" spans="1:8" x14ac:dyDescent="0.25">
      <c r="A137">
        <v>2023</v>
      </c>
      <c r="B137" t="s">
        <v>12</v>
      </c>
      <c r="C137" t="s">
        <v>23</v>
      </c>
      <c r="D137" t="s">
        <v>26</v>
      </c>
      <c r="E137">
        <v>197</v>
      </c>
      <c r="F137">
        <v>634</v>
      </c>
      <c r="G137">
        <v>124898</v>
      </c>
      <c r="H137">
        <v>28928</v>
      </c>
    </row>
    <row r="138" spans="1:8" x14ac:dyDescent="0.25">
      <c r="A138">
        <v>2023</v>
      </c>
      <c r="B138" t="s">
        <v>12</v>
      </c>
      <c r="C138" t="s">
        <v>23</v>
      </c>
      <c r="D138" t="s">
        <v>27</v>
      </c>
      <c r="E138">
        <v>303</v>
      </c>
      <c r="F138">
        <v>660</v>
      </c>
      <c r="G138">
        <v>199980</v>
      </c>
      <c r="H138">
        <v>28458</v>
      </c>
    </row>
    <row r="139" spans="1:8" x14ac:dyDescent="0.25">
      <c r="A139">
        <v>2023</v>
      </c>
      <c r="B139" t="s">
        <v>12</v>
      </c>
      <c r="C139" t="s">
        <v>23</v>
      </c>
      <c r="D139" t="s">
        <v>28</v>
      </c>
      <c r="E139">
        <v>277</v>
      </c>
      <c r="F139">
        <v>626</v>
      </c>
      <c r="G139">
        <v>173402</v>
      </c>
      <c r="H139">
        <v>36370</v>
      </c>
    </row>
    <row r="140" spans="1:8" x14ac:dyDescent="0.25">
      <c r="A140">
        <v>2023</v>
      </c>
      <c r="B140" t="s">
        <v>12</v>
      </c>
      <c r="C140" t="s">
        <v>23</v>
      </c>
      <c r="D140" t="s">
        <v>29</v>
      </c>
      <c r="E140">
        <v>117</v>
      </c>
      <c r="F140">
        <v>595</v>
      </c>
      <c r="G140">
        <v>69615</v>
      </c>
      <c r="H140">
        <v>15068</v>
      </c>
    </row>
    <row r="141" spans="1:8" x14ac:dyDescent="0.25">
      <c r="A141">
        <v>2023</v>
      </c>
      <c r="B141" t="s">
        <v>12</v>
      </c>
      <c r="C141" t="s">
        <v>23</v>
      </c>
      <c r="D141" t="s">
        <v>30</v>
      </c>
      <c r="E141">
        <v>236</v>
      </c>
      <c r="F141">
        <v>670</v>
      </c>
      <c r="G141">
        <v>158120</v>
      </c>
      <c r="H141">
        <v>29138</v>
      </c>
    </row>
    <row r="142" spans="1:8" x14ac:dyDescent="0.25">
      <c r="A142">
        <v>2023</v>
      </c>
      <c r="B142" t="s">
        <v>12</v>
      </c>
      <c r="C142" t="s">
        <v>24</v>
      </c>
      <c r="D142" t="s">
        <v>26</v>
      </c>
      <c r="E142">
        <v>355</v>
      </c>
      <c r="F142">
        <v>251</v>
      </c>
      <c r="G142">
        <v>89105</v>
      </c>
      <c r="H142">
        <v>18946</v>
      </c>
    </row>
    <row r="143" spans="1:8" x14ac:dyDescent="0.25">
      <c r="A143">
        <v>2023</v>
      </c>
      <c r="B143" t="s">
        <v>12</v>
      </c>
      <c r="C143" t="s">
        <v>24</v>
      </c>
      <c r="D143" t="s">
        <v>27</v>
      </c>
      <c r="E143">
        <v>303</v>
      </c>
      <c r="F143">
        <v>239</v>
      </c>
      <c r="G143">
        <v>72417</v>
      </c>
      <c r="H143">
        <v>11344</v>
      </c>
    </row>
    <row r="144" spans="1:8" x14ac:dyDescent="0.25">
      <c r="A144">
        <v>2023</v>
      </c>
      <c r="B144" t="s">
        <v>12</v>
      </c>
      <c r="C144" t="s">
        <v>24</v>
      </c>
      <c r="D144" t="s">
        <v>28</v>
      </c>
      <c r="E144">
        <v>144</v>
      </c>
      <c r="F144">
        <v>256</v>
      </c>
      <c r="G144">
        <v>36864</v>
      </c>
      <c r="H144">
        <v>5840</v>
      </c>
    </row>
    <row r="145" spans="1:8" x14ac:dyDescent="0.25">
      <c r="A145">
        <v>2023</v>
      </c>
      <c r="B145" t="s">
        <v>12</v>
      </c>
      <c r="C145" t="s">
        <v>24</v>
      </c>
      <c r="D145" t="s">
        <v>29</v>
      </c>
      <c r="E145">
        <v>272</v>
      </c>
      <c r="F145">
        <v>231</v>
      </c>
      <c r="G145">
        <v>62832</v>
      </c>
      <c r="H145">
        <v>6787</v>
      </c>
    </row>
    <row r="146" spans="1:8" x14ac:dyDescent="0.25">
      <c r="A146">
        <v>2023</v>
      </c>
      <c r="B146" t="s">
        <v>12</v>
      </c>
      <c r="C146" t="s">
        <v>24</v>
      </c>
      <c r="D146" t="s">
        <v>30</v>
      </c>
      <c r="E146">
        <v>319</v>
      </c>
      <c r="F146">
        <v>277</v>
      </c>
      <c r="G146">
        <v>88363</v>
      </c>
      <c r="H146">
        <v>13540</v>
      </c>
    </row>
    <row r="147" spans="1:8" x14ac:dyDescent="0.25">
      <c r="A147">
        <v>2023</v>
      </c>
      <c r="B147" t="s">
        <v>12</v>
      </c>
      <c r="C147" t="s">
        <v>25</v>
      </c>
      <c r="D147" t="s">
        <v>26</v>
      </c>
      <c r="E147">
        <v>372</v>
      </c>
      <c r="F147">
        <v>398</v>
      </c>
      <c r="G147">
        <v>148056</v>
      </c>
      <c r="H147">
        <v>35917</v>
      </c>
    </row>
    <row r="148" spans="1:8" x14ac:dyDescent="0.25">
      <c r="A148">
        <v>2023</v>
      </c>
      <c r="B148" t="s">
        <v>12</v>
      </c>
      <c r="C148" t="s">
        <v>25</v>
      </c>
      <c r="D148" t="s">
        <v>27</v>
      </c>
      <c r="E148">
        <v>228</v>
      </c>
      <c r="F148">
        <v>354</v>
      </c>
      <c r="G148">
        <v>80712</v>
      </c>
      <c r="H148">
        <v>11621</v>
      </c>
    </row>
    <row r="149" spans="1:8" x14ac:dyDescent="0.25">
      <c r="A149">
        <v>2023</v>
      </c>
      <c r="B149" t="s">
        <v>12</v>
      </c>
      <c r="C149" t="s">
        <v>25</v>
      </c>
      <c r="D149" t="s">
        <v>28</v>
      </c>
      <c r="E149">
        <v>106</v>
      </c>
      <c r="F149">
        <v>363</v>
      </c>
      <c r="G149">
        <v>38478</v>
      </c>
      <c r="H149">
        <v>5075</v>
      </c>
    </row>
    <row r="150" spans="1:8" x14ac:dyDescent="0.25">
      <c r="A150">
        <v>2023</v>
      </c>
      <c r="B150" t="s">
        <v>12</v>
      </c>
      <c r="C150" t="s">
        <v>25</v>
      </c>
      <c r="D150" t="s">
        <v>29</v>
      </c>
      <c r="E150">
        <v>135</v>
      </c>
      <c r="F150">
        <v>384</v>
      </c>
      <c r="G150">
        <v>51840</v>
      </c>
      <c r="H150">
        <v>11324</v>
      </c>
    </row>
    <row r="151" spans="1:8" x14ac:dyDescent="0.25">
      <c r="A151">
        <v>2023</v>
      </c>
      <c r="B151" t="s">
        <v>12</v>
      </c>
      <c r="C151" t="s">
        <v>25</v>
      </c>
      <c r="D151" t="s">
        <v>30</v>
      </c>
      <c r="E151">
        <v>192</v>
      </c>
      <c r="F151">
        <v>396</v>
      </c>
      <c r="G151">
        <v>76032</v>
      </c>
      <c r="H151">
        <v>18714</v>
      </c>
    </row>
    <row r="152" spans="1:8" x14ac:dyDescent="0.25">
      <c r="A152">
        <v>2023</v>
      </c>
      <c r="B152" t="s">
        <v>13</v>
      </c>
      <c r="C152" t="s">
        <v>20</v>
      </c>
      <c r="D152" t="s">
        <v>26</v>
      </c>
      <c r="E152">
        <v>302</v>
      </c>
      <c r="F152">
        <v>1096</v>
      </c>
      <c r="G152">
        <v>330992</v>
      </c>
      <c r="H152">
        <v>69692</v>
      </c>
    </row>
    <row r="153" spans="1:8" x14ac:dyDescent="0.25">
      <c r="A153">
        <v>2023</v>
      </c>
      <c r="B153" t="s">
        <v>13</v>
      </c>
      <c r="C153" t="s">
        <v>20</v>
      </c>
      <c r="D153" t="s">
        <v>27</v>
      </c>
      <c r="E153">
        <v>300</v>
      </c>
      <c r="F153">
        <v>1185</v>
      </c>
      <c r="G153">
        <v>355500</v>
      </c>
      <c r="H153">
        <v>41792</v>
      </c>
    </row>
    <row r="154" spans="1:8" x14ac:dyDescent="0.25">
      <c r="A154">
        <v>2023</v>
      </c>
      <c r="B154" t="s">
        <v>13</v>
      </c>
      <c r="C154" t="s">
        <v>20</v>
      </c>
      <c r="D154" t="s">
        <v>28</v>
      </c>
      <c r="E154">
        <v>155</v>
      </c>
      <c r="F154">
        <v>1286</v>
      </c>
      <c r="G154">
        <v>199330</v>
      </c>
      <c r="H154">
        <v>44957</v>
      </c>
    </row>
    <row r="155" spans="1:8" x14ac:dyDescent="0.25">
      <c r="A155">
        <v>2023</v>
      </c>
      <c r="B155" t="s">
        <v>13</v>
      </c>
      <c r="C155" t="s">
        <v>20</v>
      </c>
      <c r="D155" t="s">
        <v>29</v>
      </c>
      <c r="E155">
        <v>332</v>
      </c>
      <c r="F155">
        <v>1331</v>
      </c>
      <c r="G155">
        <v>441892</v>
      </c>
      <c r="H155">
        <v>72432</v>
      </c>
    </row>
    <row r="156" spans="1:8" x14ac:dyDescent="0.25">
      <c r="A156">
        <v>2023</v>
      </c>
      <c r="B156" t="s">
        <v>13</v>
      </c>
      <c r="C156" t="s">
        <v>20</v>
      </c>
      <c r="D156" t="s">
        <v>30</v>
      </c>
      <c r="E156">
        <v>247</v>
      </c>
      <c r="F156">
        <v>1101</v>
      </c>
      <c r="G156">
        <v>271947</v>
      </c>
      <c r="H156">
        <v>60720</v>
      </c>
    </row>
    <row r="157" spans="1:8" x14ac:dyDescent="0.25">
      <c r="A157">
        <v>2023</v>
      </c>
      <c r="B157" t="s">
        <v>13</v>
      </c>
      <c r="C157" t="s">
        <v>21</v>
      </c>
      <c r="D157" t="s">
        <v>26</v>
      </c>
      <c r="E157">
        <v>201</v>
      </c>
      <c r="F157">
        <v>749</v>
      </c>
      <c r="G157">
        <v>150549</v>
      </c>
      <c r="H157">
        <v>26647</v>
      </c>
    </row>
    <row r="158" spans="1:8" x14ac:dyDescent="0.25">
      <c r="A158">
        <v>2023</v>
      </c>
      <c r="B158" t="s">
        <v>13</v>
      </c>
      <c r="C158" t="s">
        <v>21</v>
      </c>
      <c r="D158" t="s">
        <v>27</v>
      </c>
      <c r="E158">
        <v>215</v>
      </c>
      <c r="F158">
        <v>794</v>
      </c>
      <c r="G158">
        <v>170710</v>
      </c>
      <c r="H158">
        <v>26561</v>
      </c>
    </row>
    <row r="159" spans="1:8" x14ac:dyDescent="0.25">
      <c r="A159">
        <v>2023</v>
      </c>
      <c r="B159" t="s">
        <v>13</v>
      </c>
      <c r="C159" t="s">
        <v>21</v>
      </c>
      <c r="D159" t="s">
        <v>28</v>
      </c>
      <c r="E159">
        <v>224</v>
      </c>
      <c r="F159">
        <v>909</v>
      </c>
      <c r="G159">
        <v>203616</v>
      </c>
      <c r="H159">
        <v>50476</v>
      </c>
    </row>
    <row r="160" spans="1:8" x14ac:dyDescent="0.25">
      <c r="A160">
        <v>2023</v>
      </c>
      <c r="B160" t="s">
        <v>13</v>
      </c>
      <c r="C160" t="s">
        <v>21</v>
      </c>
      <c r="D160" t="s">
        <v>29</v>
      </c>
      <c r="E160">
        <v>211</v>
      </c>
      <c r="F160">
        <v>790</v>
      </c>
      <c r="G160">
        <v>166690</v>
      </c>
      <c r="H160">
        <v>34376</v>
      </c>
    </row>
    <row r="161" spans="1:8" x14ac:dyDescent="0.25">
      <c r="A161">
        <v>2023</v>
      </c>
      <c r="B161" t="s">
        <v>13</v>
      </c>
      <c r="C161" t="s">
        <v>21</v>
      </c>
      <c r="D161" t="s">
        <v>30</v>
      </c>
      <c r="E161">
        <v>354</v>
      </c>
      <c r="F161">
        <v>875</v>
      </c>
      <c r="G161">
        <v>309750</v>
      </c>
      <c r="H161">
        <v>56919</v>
      </c>
    </row>
    <row r="162" spans="1:8" x14ac:dyDescent="0.25">
      <c r="A162">
        <v>2023</v>
      </c>
      <c r="B162" t="s">
        <v>13</v>
      </c>
      <c r="C162" t="s">
        <v>22</v>
      </c>
      <c r="D162" t="s">
        <v>26</v>
      </c>
      <c r="E162">
        <v>170</v>
      </c>
      <c r="F162">
        <v>115</v>
      </c>
      <c r="G162">
        <v>19550</v>
      </c>
      <c r="H162">
        <v>2923</v>
      </c>
    </row>
    <row r="163" spans="1:8" x14ac:dyDescent="0.25">
      <c r="A163">
        <v>2023</v>
      </c>
      <c r="B163" t="s">
        <v>13</v>
      </c>
      <c r="C163" t="s">
        <v>22</v>
      </c>
      <c r="D163" t="s">
        <v>27</v>
      </c>
      <c r="E163">
        <v>205</v>
      </c>
      <c r="F163">
        <v>122</v>
      </c>
      <c r="G163">
        <v>25010</v>
      </c>
      <c r="H163">
        <v>2543</v>
      </c>
    </row>
    <row r="164" spans="1:8" x14ac:dyDescent="0.25">
      <c r="A164">
        <v>2023</v>
      </c>
      <c r="B164" t="s">
        <v>13</v>
      </c>
      <c r="C164" t="s">
        <v>22</v>
      </c>
      <c r="D164" t="s">
        <v>28</v>
      </c>
      <c r="E164">
        <v>299</v>
      </c>
      <c r="F164">
        <v>125</v>
      </c>
      <c r="G164">
        <v>37375</v>
      </c>
      <c r="H164">
        <v>7891</v>
      </c>
    </row>
    <row r="165" spans="1:8" x14ac:dyDescent="0.25">
      <c r="A165">
        <v>2023</v>
      </c>
      <c r="B165" t="s">
        <v>13</v>
      </c>
      <c r="C165" t="s">
        <v>22</v>
      </c>
      <c r="D165" t="s">
        <v>29</v>
      </c>
      <c r="E165">
        <v>396</v>
      </c>
      <c r="F165">
        <v>132</v>
      </c>
      <c r="G165">
        <v>52272</v>
      </c>
      <c r="H165">
        <v>11062</v>
      </c>
    </row>
    <row r="166" spans="1:8" x14ac:dyDescent="0.25">
      <c r="A166">
        <v>2023</v>
      </c>
      <c r="B166" t="s">
        <v>13</v>
      </c>
      <c r="C166" t="s">
        <v>22</v>
      </c>
      <c r="D166" t="s">
        <v>30</v>
      </c>
      <c r="E166">
        <v>269</v>
      </c>
      <c r="F166">
        <v>120</v>
      </c>
      <c r="G166">
        <v>32280</v>
      </c>
      <c r="H166">
        <v>5541</v>
      </c>
    </row>
    <row r="167" spans="1:8" x14ac:dyDescent="0.25">
      <c r="A167">
        <v>2023</v>
      </c>
      <c r="B167" t="s">
        <v>13</v>
      </c>
      <c r="C167" t="s">
        <v>23</v>
      </c>
      <c r="D167" t="s">
        <v>26</v>
      </c>
      <c r="E167">
        <v>391</v>
      </c>
      <c r="F167">
        <v>619</v>
      </c>
      <c r="G167">
        <v>242029</v>
      </c>
      <c r="H167">
        <v>40043</v>
      </c>
    </row>
    <row r="168" spans="1:8" x14ac:dyDescent="0.25">
      <c r="A168">
        <v>2023</v>
      </c>
      <c r="B168" t="s">
        <v>13</v>
      </c>
      <c r="C168" t="s">
        <v>23</v>
      </c>
      <c r="D168" t="s">
        <v>27</v>
      </c>
      <c r="E168">
        <v>137</v>
      </c>
      <c r="F168">
        <v>541</v>
      </c>
      <c r="G168">
        <v>74117</v>
      </c>
      <c r="H168">
        <v>18194</v>
      </c>
    </row>
    <row r="169" spans="1:8" x14ac:dyDescent="0.25">
      <c r="A169">
        <v>2023</v>
      </c>
      <c r="B169" t="s">
        <v>13</v>
      </c>
      <c r="C169" t="s">
        <v>23</v>
      </c>
      <c r="D169" t="s">
        <v>28</v>
      </c>
      <c r="E169">
        <v>396</v>
      </c>
      <c r="F169">
        <v>588</v>
      </c>
      <c r="G169">
        <v>232848</v>
      </c>
      <c r="H169">
        <v>24800</v>
      </c>
    </row>
    <row r="170" spans="1:8" x14ac:dyDescent="0.25">
      <c r="A170">
        <v>2023</v>
      </c>
      <c r="B170" t="s">
        <v>13</v>
      </c>
      <c r="C170" t="s">
        <v>23</v>
      </c>
      <c r="D170" t="s">
        <v>29</v>
      </c>
      <c r="E170">
        <v>292</v>
      </c>
      <c r="F170">
        <v>688</v>
      </c>
      <c r="G170">
        <v>200896</v>
      </c>
      <c r="H170">
        <v>22313</v>
      </c>
    </row>
    <row r="171" spans="1:8" x14ac:dyDescent="0.25">
      <c r="A171">
        <v>2023</v>
      </c>
      <c r="B171" t="s">
        <v>13</v>
      </c>
      <c r="C171" t="s">
        <v>23</v>
      </c>
      <c r="D171" t="s">
        <v>30</v>
      </c>
      <c r="E171">
        <v>306</v>
      </c>
      <c r="F171">
        <v>644</v>
      </c>
      <c r="G171">
        <v>197064</v>
      </c>
      <c r="H171">
        <v>21936</v>
      </c>
    </row>
    <row r="172" spans="1:8" x14ac:dyDescent="0.25">
      <c r="A172">
        <v>2023</v>
      </c>
      <c r="B172" t="s">
        <v>13</v>
      </c>
      <c r="C172" t="s">
        <v>24</v>
      </c>
      <c r="D172" t="s">
        <v>26</v>
      </c>
      <c r="E172">
        <v>126</v>
      </c>
      <c r="F172">
        <v>264</v>
      </c>
      <c r="G172">
        <v>33264</v>
      </c>
      <c r="H172">
        <v>6797</v>
      </c>
    </row>
    <row r="173" spans="1:8" x14ac:dyDescent="0.25">
      <c r="A173">
        <v>2023</v>
      </c>
      <c r="B173" t="s">
        <v>13</v>
      </c>
      <c r="C173" t="s">
        <v>24</v>
      </c>
      <c r="D173" t="s">
        <v>27</v>
      </c>
      <c r="E173">
        <v>80</v>
      </c>
      <c r="F173">
        <v>264</v>
      </c>
      <c r="G173">
        <v>21120</v>
      </c>
      <c r="H173">
        <v>3963</v>
      </c>
    </row>
    <row r="174" spans="1:8" x14ac:dyDescent="0.25">
      <c r="A174">
        <v>2023</v>
      </c>
      <c r="B174" t="s">
        <v>13</v>
      </c>
      <c r="C174" t="s">
        <v>24</v>
      </c>
      <c r="D174" t="s">
        <v>28</v>
      </c>
      <c r="E174">
        <v>223</v>
      </c>
      <c r="F174">
        <v>271</v>
      </c>
      <c r="G174">
        <v>60433</v>
      </c>
      <c r="H174">
        <v>14340</v>
      </c>
    </row>
    <row r="175" spans="1:8" x14ac:dyDescent="0.25">
      <c r="A175">
        <v>2023</v>
      </c>
      <c r="B175" t="s">
        <v>13</v>
      </c>
      <c r="C175" t="s">
        <v>24</v>
      </c>
      <c r="D175" t="s">
        <v>29</v>
      </c>
      <c r="E175">
        <v>303</v>
      </c>
      <c r="F175">
        <v>228</v>
      </c>
      <c r="G175">
        <v>69084</v>
      </c>
      <c r="H175">
        <v>10996</v>
      </c>
    </row>
    <row r="176" spans="1:8" x14ac:dyDescent="0.25">
      <c r="A176">
        <v>2023</v>
      </c>
      <c r="B176" t="s">
        <v>13</v>
      </c>
      <c r="C176" t="s">
        <v>24</v>
      </c>
      <c r="D176" t="s">
        <v>30</v>
      </c>
      <c r="E176">
        <v>235</v>
      </c>
      <c r="F176">
        <v>245</v>
      </c>
      <c r="G176">
        <v>57575</v>
      </c>
      <c r="H176">
        <v>7222</v>
      </c>
    </row>
    <row r="177" spans="1:8" x14ac:dyDescent="0.25">
      <c r="A177">
        <v>2023</v>
      </c>
      <c r="B177" t="s">
        <v>13</v>
      </c>
      <c r="C177" t="s">
        <v>25</v>
      </c>
      <c r="D177" t="s">
        <v>26</v>
      </c>
      <c r="E177">
        <v>243</v>
      </c>
      <c r="F177">
        <v>355</v>
      </c>
      <c r="G177">
        <v>86265</v>
      </c>
      <c r="H177">
        <v>13198</v>
      </c>
    </row>
    <row r="178" spans="1:8" x14ac:dyDescent="0.25">
      <c r="A178">
        <v>2023</v>
      </c>
      <c r="B178" t="s">
        <v>13</v>
      </c>
      <c r="C178" t="s">
        <v>25</v>
      </c>
      <c r="D178" t="s">
        <v>27</v>
      </c>
      <c r="E178">
        <v>257</v>
      </c>
      <c r="F178">
        <v>338</v>
      </c>
      <c r="G178">
        <v>86866</v>
      </c>
      <c r="H178">
        <v>13381</v>
      </c>
    </row>
    <row r="179" spans="1:8" x14ac:dyDescent="0.25">
      <c r="A179">
        <v>2023</v>
      </c>
      <c r="B179" t="s">
        <v>13</v>
      </c>
      <c r="C179" t="s">
        <v>25</v>
      </c>
      <c r="D179" t="s">
        <v>28</v>
      </c>
      <c r="E179">
        <v>307</v>
      </c>
      <c r="F179">
        <v>401</v>
      </c>
      <c r="G179">
        <v>123107</v>
      </c>
      <c r="H179">
        <v>25202</v>
      </c>
    </row>
    <row r="180" spans="1:8" x14ac:dyDescent="0.25">
      <c r="A180">
        <v>2023</v>
      </c>
      <c r="B180" t="s">
        <v>13</v>
      </c>
      <c r="C180" t="s">
        <v>25</v>
      </c>
      <c r="D180" t="s">
        <v>29</v>
      </c>
      <c r="E180">
        <v>224</v>
      </c>
      <c r="F180">
        <v>339</v>
      </c>
      <c r="G180">
        <v>75936</v>
      </c>
      <c r="H180">
        <v>12277</v>
      </c>
    </row>
    <row r="181" spans="1:8" x14ac:dyDescent="0.25">
      <c r="A181">
        <v>2023</v>
      </c>
      <c r="B181" t="s">
        <v>13</v>
      </c>
      <c r="C181" t="s">
        <v>25</v>
      </c>
      <c r="D181" t="s">
        <v>30</v>
      </c>
      <c r="E181">
        <v>299</v>
      </c>
      <c r="F181">
        <v>338</v>
      </c>
      <c r="G181">
        <v>101062</v>
      </c>
      <c r="H181">
        <v>12125</v>
      </c>
    </row>
    <row r="182" spans="1:8" x14ac:dyDescent="0.25">
      <c r="A182">
        <v>2023</v>
      </c>
      <c r="B182" t="s">
        <v>14</v>
      </c>
      <c r="C182" t="s">
        <v>20</v>
      </c>
      <c r="D182" t="s">
        <v>26</v>
      </c>
      <c r="E182">
        <v>111</v>
      </c>
      <c r="F182">
        <v>1326</v>
      </c>
      <c r="G182">
        <v>147186</v>
      </c>
      <c r="H182">
        <v>35688</v>
      </c>
    </row>
    <row r="183" spans="1:8" x14ac:dyDescent="0.25">
      <c r="A183">
        <v>2023</v>
      </c>
      <c r="B183" t="s">
        <v>14</v>
      </c>
      <c r="C183" t="s">
        <v>20</v>
      </c>
      <c r="D183" t="s">
        <v>27</v>
      </c>
      <c r="E183">
        <v>326</v>
      </c>
      <c r="F183">
        <v>1254</v>
      </c>
      <c r="G183">
        <v>408804</v>
      </c>
      <c r="H183">
        <v>97244</v>
      </c>
    </row>
    <row r="184" spans="1:8" x14ac:dyDescent="0.25">
      <c r="A184">
        <v>2023</v>
      </c>
      <c r="B184" t="s">
        <v>14</v>
      </c>
      <c r="C184" t="s">
        <v>20</v>
      </c>
      <c r="D184" t="s">
        <v>28</v>
      </c>
      <c r="E184">
        <v>86</v>
      </c>
      <c r="F184">
        <v>1359</v>
      </c>
      <c r="G184">
        <v>116874</v>
      </c>
      <c r="H184">
        <v>26870</v>
      </c>
    </row>
    <row r="185" spans="1:8" x14ac:dyDescent="0.25">
      <c r="A185">
        <v>2023</v>
      </c>
      <c r="B185" t="s">
        <v>14</v>
      </c>
      <c r="C185" t="s">
        <v>20</v>
      </c>
      <c r="D185" t="s">
        <v>29</v>
      </c>
      <c r="E185">
        <v>81</v>
      </c>
      <c r="F185">
        <v>1087</v>
      </c>
      <c r="G185">
        <v>88047</v>
      </c>
      <c r="H185">
        <v>13776</v>
      </c>
    </row>
    <row r="186" spans="1:8" x14ac:dyDescent="0.25">
      <c r="A186">
        <v>2023</v>
      </c>
      <c r="B186" t="s">
        <v>14</v>
      </c>
      <c r="C186" t="s">
        <v>20</v>
      </c>
      <c r="D186" t="s">
        <v>30</v>
      </c>
      <c r="E186">
        <v>140</v>
      </c>
      <c r="F186">
        <v>1224</v>
      </c>
      <c r="G186">
        <v>171360</v>
      </c>
      <c r="H186">
        <v>42461</v>
      </c>
    </row>
    <row r="187" spans="1:8" x14ac:dyDescent="0.25">
      <c r="A187">
        <v>2023</v>
      </c>
      <c r="B187" t="s">
        <v>14</v>
      </c>
      <c r="C187" t="s">
        <v>21</v>
      </c>
      <c r="D187" t="s">
        <v>26</v>
      </c>
      <c r="E187">
        <v>337</v>
      </c>
      <c r="F187">
        <v>838</v>
      </c>
      <c r="G187">
        <v>282406</v>
      </c>
      <c r="H187">
        <v>44375</v>
      </c>
    </row>
    <row r="188" spans="1:8" x14ac:dyDescent="0.25">
      <c r="A188">
        <v>2023</v>
      </c>
      <c r="B188" t="s">
        <v>14</v>
      </c>
      <c r="C188" t="s">
        <v>21</v>
      </c>
      <c r="D188" t="s">
        <v>27</v>
      </c>
      <c r="E188">
        <v>384</v>
      </c>
      <c r="F188">
        <v>888</v>
      </c>
      <c r="G188">
        <v>340992</v>
      </c>
      <c r="H188">
        <v>76978</v>
      </c>
    </row>
    <row r="189" spans="1:8" x14ac:dyDescent="0.25">
      <c r="A189">
        <v>2023</v>
      </c>
      <c r="B189" t="s">
        <v>14</v>
      </c>
      <c r="C189" t="s">
        <v>21</v>
      </c>
      <c r="D189" t="s">
        <v>28</v>
      </c>
      <c r="E189">
        <v>172</v>
      </c>
      <c r="F189">
        <v>727</v>
      </c>
      <c r="G189">
        <v>125044</v>
      </c>
      <c r="H189">
        <v>15015</v>
      </c>
    </row>
    <row r="190" spans="1:8" x14ac:dyDescent="0.25">
      <c r="A190">
        <v>2023</v>
      </c>
      <c r="B190" t="s">
        <v>14</v>
      </c>
      <c r="C190" t="s">
        <v>21</v>
      </c>
      <c r="D190" t="s">
        <v>29</v>
      </c>
      <c r="E190">
        <v>380</v>
      </c>
      <c r="F190">
        <v>892</v>
      </c>
      <c r="G190">
        <v>338960</v>
      </c>
      <c r="H190">
        <v>75227</v>
      </c>
    </row>
    <row r="191" spans="1:8" x14ac:dyDescent="0.25">
      <c r="A191">
        <v>2023</v>
      </c>
      <c r="B191" t="s">
        <v>14</v>
      </c>
      <c r="C191" t="s">
        <v>21</v>
      </c>
      <c r="D191" t="s">
        <v>30</v>
      </c>
      <c r="E191">
        <v>206</v>
      </c>
      <c r="F191">
        <v>919</v>
      </c>
      <c r="G191">
        <v>189314</v>
      </c>
      <c r="H191">
        <v>34704</v>
      </c>
    </row>
    <row r="192" spans="1:8" x14ac:dyDescent="0.25">
      <c r="A192">
        <v>2023</v>
      </c>
      <c r="B192" t="s">
        <v>14</v>
      </c>
      <c r="C192" t="s">
        <v>22</v>
      </c>
      <c r="D192" t="s">
        <v>26</v>
      </c>
      <c r="E192">
        <v>128</v>
      </c>
      <c r="F192">
        <v>136</v>
      </c>
      <c r="G192">
        <v>17408</v>
      </c>
      <c r="H192">
        <v>3959</v>
      </c>
    </row>
    <row r="193" spans="1:8" x14ac:dyDescent="0.25">
      <c r="A193">
        <v>2023</v>
      </c>
      <c r="B193" t="s">
        <v>14</v>
      </c>
      <c r="C193" t="s">
        <v>22</v>
      </c>
      <c r="D193" t="s">
        <v>27</v>
      </c>
      <c r="E193">
        <v>218</v>
      </c>
      <c r="F193">
        <v>115</v>
      </c>
      <c r="G193">
        <v>25070</v>
      </c>
      <c r="H193">
        <v>3278</v>
      </c>
    </row>
    <row r="194" spans="1:8" x14ac:dyDescent="0.25">
      <c r="A194">
        <v>2023</v>
      </c>
      <c r="B194" t="s">
        <v>14</v>
      </c>
      <c r="C194" t="s">
        <v>22</v>
      </c>
      <c r="D194" t="s">
        <v>28</v>
      </c>
      <c r="E194">
        <v>78</v>
      </c>
      <c r="F194">
        <v>136</v>
      </c>
      <c r="G194">
        <v>10608</v>
      </c>
      <c r="H194">
        <v>2025</v>
      </c>
    </row>
    <row r="195" spans="1:8" x14ac:dyDescent="0.25">
      <c r="A195">
        <v>2023</v>
      </c>
      <c r="B195" t="s">
        <v>14</v>
      </c>
      <c r="C195" t="s">
        <v>22</v>
      </c>
      <c r="D195" t="s">
        <v>29</v>
      </c>
      <c r="E195">
        <v>357</v>
      </c>
      <c r="F195">
        <v>109</v>
      </c>
      <c r="G195">
        <v>38913</v>
      </c>
      <c r="H195">
        <v>5459</v>
      </c>
    </row>
    <row r="196" spans="1:8" x14ac:dyDescent="0.25">
      <c r="A196">
        <v>2023</v>
      </c>
      <c r="B196" t="s">
        <v>14</v>
      </c>
      <c r="C196" t="s">
        <v>22</v>
      </c>
      <c r="D196" t="s">
        <v>30</v>
      </c>
      <c r="E196">
        <v>115</v>
      </c>
      <c r="F196">
        <v>128</v>
      </c>
      <c r="G196">
        <v>14720</v>
      </c>
      <c r="H196">
        <v>2620</v>
      </c>
    </row>
    <row r="197" spans="1:8" x14ac:dyDescent="0.25">
      <c r="A197">
        <v>2023</v>
      </c>
      <c r="B197" t="s">
        <v>14</v>
      </c>
      <c r="C197" t="s">
        <v>23</v>
      </c>
      <c r="D197" t="s">
        <v>26</v>
      </c>
      <c r="E197">
        <v>192</v>
      </c>
      <c r="F197">
        <v>664</v>
      </c>
      <c r="G197">
        <v>127488</v>
      </c>
      <c r="H197">
        <v>18634</v>
      </c>
    </row>
    <row r="198" spans="1:8" x14ac:dyDescent="0.25">
      <c r="A198">
        <v>2023</v>
      </c>
      <c r="B198" t="s">
        <v>14</v>
      </c>
      <c r="C198" t="s">
        <v>23</v>
      </c>
      <c r="D198" t="s">
        <v>27</v>
      </c>
      <c r="E198">
        <v>129</v>
      </c>
      <c r="F198">
        <v>685</v>
      </c>
      <c r="G198">
        <v>88365</v>
      </c>
      <c r="H198">
        <v>10008</v>
      </c>
    </row>
    <row r="199" spans="1:8" x14ac:dyDescent="0.25">
      <c r="A199">
        <v>2023</v>
      </c>
      <c r="B199" t="s">
        <v>14</v>
      </c>
      <c r="C199" t="s">
        <v>23</v>
      </c>
      <c r="D199" t="s">
        <v>28</v>
      </c>
      <c r="E199">
        <v>321</v>
      </c>
      <c r="F199">
        <v>600</v>
      </c>
      <c r="G199">
        <v>192600</v>
      </c>
      <c r="H199">
        <v>23131</v>
      </c>
    </row>
    <row r="200" spans="1:8" x14ac:dyDescent="0.25">
      <c r="A200">
        <v>2023</v>
      </c>
      <c r="B200" t="s">
        <v>14</v>
      </c>
      <c r="C200" t="s">
        <v>23</v>
      </c>
      <c r="D200" t="s">
        <v>29</v>
      </c>
      <c r="E200">
        <v>372</v>
      </c>
      <c r="F200">
        <v>603</v>
      </c>
      <c r="G200">
        <v>224316</v>
      </c>
      <c r="H200">
        <v>48833</v>
      </c>
    </row>
    <row r="201" spans="1:8" x14ac:dyDescent="0.25">
      <c r="A201">
        <v>2023</v>
      </c>
      <c r="B201" t="s">
        <v>14</v>
      </c>
      <c r="C201" t="s">
        <v>23</v>
      </c>
      <c r="D201" t="s">
        <v>30</v>
      </c>
      <c r="E201">
        <v>141</v>
      </c>
      <c r="F201">
        <v>660</v>
      </c>
      <c r="G201">
        <v>93060</v>
      </c>
      <c r="H201">
        <v>21913</v>
      </c>
    </row>
    <row r="202" spans="1:8" x14ac:dyDescent="0.25">
      <c r="A202">
        <v>2023</v>
      </c>
      <c r="B202" t="s">
        <v>14</v>
      </c>
      <c r="C202" t="s">
        <v>24</v>
      </c>
      <c r="D202" t="s">
        <v>26</v>
      </c>
      <c r="E202">
        <v>264</v>
      </c>
      <c r="F202">
        <v>225</v>
      </c>
      <c r="G202">
        <v>59400</v>
      </c>
      <c r="H202">
        <v>9063</v>
      </c>
    </row>
    <row r="203" spans="1:8" x14ac:dyDescent="0.25">
      <c r="A203">
        <v>2023</v>
      </c>
      <c r="B203" t="s">
        <v>14</v>
      </c>
      <c r="C203" t="s">
        <v>24</v>
      </c>
      <c r="D203" t="s">
        <v>27</v>
      </c>
      <c r="E203">
        <v>172</v>
      </c>
      <c r="F203">
        <v>264</v>
      </c>
      <c r="G203">
        <v>45408</v>
      </c>
      <c r="H203">
        <v>8319</v>
      </c>
    </row>
    <row r="204" spans="1:8" x14ac:dyDescent="0.25">
      <c r="A204">
        <v>2023</v>
      </c>
      <c r="B204" t="s">
        <v>14</v>
      </c>
      <c r="C204" t="s">
        <v>24</v>
      </c>
      <c r="D204" t="s">
        <v>28</v>
      </c>
      <c r="E204">
        <v>377</v>
      </c>
      <c r="F204">
        <v>259</v>
      </c>
      <c r="G204">
        <v>97643</v>
      </c>
      <c r="H204">
        <v>16368</v>
      </c>
    </row>
    <row r="205" spans="1:8" x14ac:dyDescent="0.25">
      <c r="A205">
        <v>2023</v>
      </c>
      <c r="B205" t="s">
        <v>14</v>
      </c>
      <c r="C205" t="s">
        <v>24</v>
      </c>
      <c r="D205" t="s">
        <v>29</v>
      </c>
      <c r="E205">
        <v>106</v>
      </c>
      <c r="F205">
        <v>263</v>
      </c>
      <c r="G205">
        <v>27878</v>
      </c>
      <c r="H205">
        <v>6393</v>
      </c>
    </row>
    <row r="206" spans="1:8" x14ac:dyDescent="0.25">
      <c r="A206">
        <v>2023</v>
      </c>
      <c r="B206" t="s">
        <v>14</v>
      </c>
      <c r="C206" t="s">
        <v>24</v>
      </c>
      <c r="D206" t="s">
        <v>30</v>
      </c>
      <c r="E206">
        <v>206</v>
      </c>
      <c r="F206">
        <v>274</v>
      </c>
      <c r="G206">
        <v>56444</v>
      </c>
      <c r="H206">
        <v>9533</v>
      </c>
    </row>
    <row r="207" spans="1:8" x14ac:dyDescent="0.25">
      <c r="A207">
        <v>2023</v>
      </c>
      <c r="B207" t="s">
        <v>14</v>
      </c>
      <c r="C207" t="s">
        <v>25</v>
      </c>
      <c r="D207" t="s">
        <v>26</v>
      </c>
      <c r="E207">
        <v>343</v>
      </c>
      <c r="F207">
        <v>337</v>
      </c>
      <c r="G207">
        <v>115591</v>
      </c>
      <c r="H207">
        <v>19519</v>
      </c>
    </row>
    <row r="208" spans="1:8" x14ac:dyDescent="0.25">
      <c r="A208">
        <v>2023</v>
      </c>
      <c r="B208" t="s">
        <v>14</v>
      </c>
      <c r="C208" t="s">
        <v>25</v>
      </c>
      <c r="D208" t="s">
        <v>27</v>
      </c>
      <c r="E208">
        <v>110</v>
      </c>
      <c r="F208">
        <v>369</v>
      </c>
      <c r="G208">
        <v>40590</v>
      </c>
      <c r="H208">
        <v>6174</v>
      </c>
    </row>
    <row r="209" spans="1:8" x14ac:dyDescent="0.25">
      <c r="A209">
        <v>2023</v>
      </c>
      <c r="B209" t="s">
        <v>14</v>
      </c>
      <c r="C209" t="s">
        <v>25</v>
      </c>
      <c r="D209" t="s">
        <v>28</v>
      </c>
      <c r="E209">
        <v>199</v>
      </c>
      <c r="F209">
        <v>370</v>
      </c>
      <c r="G209">
        <v>73630</v>
      </c>
      <c r="H209">
        <v>10015</v>
      </c>
    </row>
    <row r="210" spans="1:8" x14ac:dyDescent="0.25">
      <c r="A210">
        <v>2023</v>
      </c>
      <c r="B210" t="s">
        <v>14</v>
      </c>
      <c r="C210" t="s">
        <v>25</v>
      </c>
      <c r="D210" t="s">
        <v>29</v>
      </c>
      <c r="E210">
        <v>185</v>
      </c>
      <c r="F210">
        <v>326</v>
      </c>
      <c r="G210">
        <v>60310</v>
      </c>
      <c r="H210">
        <v>7189</v>
      </c>
    </row>
    <row r="211" spans="1:8" x14ac:dyDescent="0.25">
      <c r="A211">
        <v>2023</v>
      </c>
      <c r="B211" t="s">
        <v>14</v>
      </c>
      <c r="C211" t="s">
        <v>25</v>
      </c>
      <c r="D211" t="s">
        <v>30</v>
      </c>
      <c r="E211">
        <v>169</v>
      </c>
      <c r="F211">
        <v>350</v>
      </c>
      <c r="G211">
        <v>59150</v>
      </c>
      <c r="H211">
        <v>12105</v>
      </c>
    </row>
    <row r="212" spans="1:8" x14ac:dyDescent="0.25">
      <c r="A212">
        <v>2023</v>
      </c>
      <c r="B212" t="s">
        <v>15</v>
      </c>
      <c r="C212" t="s">
        <v>20</v>
      </c>
      <c r="D212" t="s">
        <v>26</v>
      </c>
      <c r="E212">
        <v>251</v>
      </c>
      <c r="F212">
        <v>1203</v>
      </c>
      <c r="G212">
        <v>301953</v>
      </c>
      <c r="H212">
        <v>69795</v>
      </c>
    </row>
    <row r="213" spans="1:8" x14ac:dyDescent="0.25">
      <c r="A213">
        <v>2023</v>
      </c>
      <c r="B213" t="s">
        <v>15</v>
      </c>
      <c r="C213" t="s">
        <v>20</v>
      </c>
      <c r="D213" t="s">
        <v>27</v>
      </c>
      <c r="E213">
        <v>223</v>
      </c>
      <c r="F213">
        <v>1280</v>
      </c>
      <c r="G213">
        <v>285440</v>
      </c>
      <c r="H213">
        <v>35922</v>
      </c>
    </row>
    <row r="214" spans="1:8" x14ac:dyDescent="0.25">
      <c r="A214">
        <v>2023</v>
      </c>
      <c r="B214" t="s">
        <v>15</v>
      </c>
      <c r="C214" t="s">
        <v>20</v>
      </c>
      <c r="D214" t="s">
        <v>28</v>
      </c>
      <c r="E214">
        <v>192</v>
      </c>
      <c r="F214">
        <v>1147</v>
      </c>
      <c r="G214">
        <v>220224</v>
      </c>
      <c r="H214">
        <v>49169</v>
      </c>
    </row>
    <row r="215" spans="1:8" x14ac:dyDescent="0.25">
      <c r="A215">
        <v>2023</v>
      </c>
      <c r="B215" t="s">
        <v>15</v>
      </c>
      <c r="C215" t="s">
        <v>20</v>
      </c>
      <c r="D215" t="s">
        <v>29</v>
      </c>
      <c r="E215">
        <v>163</v>
      </c>
      <c r="F215">
        <v>1184</v>
      </c>
      <c r="G215">
        <v>192992</v>
      </c>
      <c r="H215">
        <v>20219</v>
      </c>
    </row>
    <row r="216" spans="1:8" x14ac:dyDescent="0.25">
      <c r="A216">
        <v>2023</v>
      </c>
      <c r="B216" t="s">
        <v>15</v>
      </c>
      <c r="C216" t="s">
        <v>20</v>
      </c>
      <c r="D216" t="s">
        <v>30</v>
      </c>
      <c r="E216">
        <v>76</v>
      </c>
      <c r="F216">
        <v>1240</v>
      </c>
      <c r="G216">
        <v>94240</v>
      </c>
      <c r="H216">
        <v>14456</v>
      </c>
    </row>
    <row r="217" spans="1:8" x14ac:dyDescent="0.25">
      <c r="A217">
        <v>2023</v>
      </c>
      <c r="B217" t="s">
        <v>15</v>
      </c>
      <c r="C217" t="s">
        <v>21</v>
      </c>
      <c r="D217" t="s">
        <v>26</v>
      </c>
      <c r="E217">
        <v>119</v>
      </c>
      <c r="F217">
        <v>792</v>
      </c>
      <c r="G217">
        <v>94248</v>
      </c>
      <c r="H217">
        <v>16541</v>
      </c>
    </row>
    <row r="218" spans="1:8" x14ac:dyDescent="0.25">
      <c r="A218">
        <v>2023</v>
      </c>
      <c r="B218" t="s">
        <v>15</v>
      </c>
      <c r="C218" t="s">
        <v>21</v>
      </c>
      <c r="D218" t="s">
        <v>27</v>
      </c>
      <c r="E218">
        <v>363</v>
      </c>
      <c r="F218">
        <v>784</v>
      </c>
      <c r="G218">
        <v>284592</v>
      </c>
      <c r="H218">
        <v>32398</v>
      </c>
    </row>
    <row r="219" spans="1:8" x14ac:dyDescent="0.25">
      <c r="A219">
        <v>2023</v>
      </c>
      <c r="B219" t="s">
        <v>15</v>
      </c>
      <c r="C219" t="s">
        <v>21</v>
      </c>
      <c r="D219" t="s">
        <v>28</v>
      </c>
      <c r="E219">
        <v>120</v>
      </c>
      <c r="F219">
        <v>845</v>
      </c>
      <c r="G219">
        <v>101400</v>
      </c>
      <c r="H219">
        <v>11383</v>
      </c>
    </row>
    <row r="220" spans="1:8" x14ac:dyDescent="0.25">
      <c r="A220">
        <v>2023</v>
      </c>
      <c r="B220" t="s">
        <v>15</v>
      </c>
      <c r="C220" t="s">
        <v>21</v>
      </c>
      <c r="D220" t="s">
        <v>29</v>
      </c>
      <c r="E220">
        <v>177</v>
      </c>
      <c r="F220">
        <v>904</v>
      </c>
      <c r="G220">
        <v>160008</v>
      </c>
      <c r="H220">
        <v>17466</v>
      </c>
    </row>
    <row r="221" spans="1:8" x14ac:dyDescent="0.25">
      <c r="A221">
        <v>2023</v>
      </c>
      <c r="B221" t="s">
        <v>15</v>
      </c>
      <c r="C221" t="s">
        <v>21</v>
      </c>
      <c r="D221" t="s">
        <v>30</v>
      </c>
      <c r="E221">
        <v>100</v>
      </c>
      <c r="F221">
        <v>893</v>
      </c>
      <c r="G221">
        <v>89300</v>
      </c>
      <c r="H221">
        <v>10062</v>
      </c>
    </row>
    <row r="222" spans="1:8" x14ac:dyDescent="0.25">
      <c r="A222">
        <v>2023</v>
      </c>
      <c r="B222" t="s">
        <v>15</v>
      </c>
      <c r="C222" t="s">
        <v>22</v>
      </c>
      <c r="D222" t="s">
        <v>26</v>
      </c>
      <c r="E222">
        <v>317</v>
      </c>
      <c r="F222">
        <v>137</v>
      </c>
      <c r="G222">
        <v>43429</v>
      </c>
      <c r="H222">
        <v>7838</v>
      </c>
    </row>
    <row r="223" spans="1:8" x14ac:dyDescent="0.25">
      <c r="A223">
        <v>2023</v>
      </c>
      <c r="B223" t="s">
        <v>15</v>
      </c>
      <c r="C223" t="s">
        <v>22</v>
      </c>
      <c r="D223" t="s">
        <v>27</v>
      </c>
      <c r="E223">
        <v>129</v>
      </c>
      <c r="F223">
        <v>122</v>
      </c>
      <c r="G223">
        <v>15738</v>
      </c>
      <c r="H223">
        <v>3033</v>
      </c>
    </row>
    <row r="224" spans="1:8" x14ac:dyDescent="0.25">
      <c r="A224">
        <v>2023</v>
      </c>
      <c r="B224" t="s">
        <v>15</v>
      </c>
      <c r="C224" t="s">
        <v>22</v>
      </c>
      <c r="D224" t="s">
        <v>28</v>
      </c>
      <c r="E224">
        <v>150</v>
      </c>
      <c r="F224">
        <v>121</v>
      </c>
      <c r="G224">
        <v>18150</v>
      </c>
      <c r="H224">
        <v>3849</v>
      </c>
    </row>
    <row r="225" spans="1:8" x14ac:dyDescent="0.25">
      <c r="A225">
        <v>2023</v>
      </c>
      <c r="B225" t="s">
        <v>15</v>
      </c>
      <c r="C225" t="s">
        <v>22</v>
      </c>
      <c r="D225" t="s">
        <v>29</v>
      </c>
      <c r="E225">
        <v>88</v>
      </c>
      <c r="F225">
        <v>112</v>
      </c>
      <c r="G225">
        <v>9856</v>
      </c>
      <c r="H225">
        <v>1182</v>
      </c>
    </row>
    <row r="226" spans="1:8" x14ac:dyDescent="0.25">
      <c r="A226">
        <v>2023</v>
      </c>
      <c r="B226" t="s">
        <v>15</v>
      </c>
      <c r="C226" t="s">
        <v>22</v>
      </c>
      <c r="D226" t="s">
        <v>30</v>
      </c>
      <c r="E226">
        <v>78</v>
      </c>
      <c r="F226">
        <v>134</v>
      </c>
      <c r="G226">
        <v>10452</v>
      </c>
      <c r="H226">
        <v>1847</v>
      </c>
    </row>
    <row r="227" spans="1:8" x14ac:dyDescent="0.25">
      <c r="A227">
        <v>2023</v>
      </c>
      <c r="B227" t="s">
        <v>15</v>
      </c>
      <c r="C227" t="s">
        <v>23</v>
      </c>
      <c r="D227" t="s">
        <v>26</v>
      </c>
      <c r="E227">
        <v>304</v>
      </c>
      <c r="F227">
        <v>544</v>
      </c>
      <c r="G227">
        <v>165376</v>
      </c>
      <c r="H227">
        <v>38050</v>
      </c>
    </row>
    <row r="228" spans="1:8" x14ac:dyDescent="0.25">
      <c r="A228">
        <v>2023</v>
      </c>
      <c r="B228" t="s">
        <v>15</v>
      </c>
      <c r="C228" t="s">
        <v>23</v>
      </c>
      <c r="D228" t="s">
        <v>27</v>
      </c>
      <c r="E228">
        <v>356</v>
      </c>
      <c r="F228">
        <v>619</v>
      </c>
      <c r="G228">
        <v>220364</v>
      </c>
      <c r="H228">
        <v>30051</v>
      </c>
    </row>
    <row r="229" spans="1:8" x14ac:dyDescent="0.25">
      <c r="A229">
        <v>2023</v>
      </c>
      <c r="B229" t="s">
        <v>15</v>
      </c>
      <c r="C229" t="s">
        <v>23</v>
      </c>
      <c r="D229" t="s">
        <v>28</v>
      </c>
      <c r="E229">
        <v>189</v>
      </c>
      <c r="F229">
        <v>596</v>
      </c>
      <c r="G229">
        <v>112644</v>
      </c>
      <c r="H229">
        <v>11603</v>
      </c>
    </row>
    <row r="230" spans="1:8" x14ac:dyDescent="0.25">
      <c r="A230">
        <v>2023</v>
      </c>
      <c r="B230" t="s">
        <v>15</v>
      </c>
      <c r="C230" t="s">
        <v>23</v>
      </c>
      <c r="D230" t="s">
        <v>29</v>
      </c>
      <c r="E230">
        <v>336</v>
      </c>
      <c r="F230">
        <v>571</v>
      </c>
      <c r="G230">
        <v>191856</v>
      </c>
      <c r="H230">
        <v>28610</v>
      </c>
    </row>
    <row r="231" spans="1:8" x14ac:dyDescent="0.25">
      <c r="A231">
        <v>2023</v>
      </c>
      <c r="B231" t="s">
        <v>15</v>
      </c>
      <c r="C231" t="s">
        <v>23</v>
      </c>
      <c r="D231" t="s">
        <v>30</v>
      </c>
      <c r="E231">
        <v>362</v>
      </c>
      <c r="F231">
        <v>574</v>
      </c>
      <c r="G231">
        <v>207788</v>
      </c>
      <c r="H231">
        <v>31467</v>
      </c>
    </row>
    <row r="232" spans="1:8" x14ac:dyDescent="0.25">
      <c r="A232">
        <v>2023</v>
      </c>
      <c r="B232" t="s">
        <v>15</v>
      </c>
      <c r="C232" t="s">
        <v>24</v>
      </c>
      <c r="D232" t="s">
        <v>26</v>
      </c>
      <c r="E232">
        <v>99</v>
      </c>
      <c r="F232">
        <v>267</v>
      </c>
      <c r="G232">
        <v>26433</v>
      </c>
      <c r="H232">
        <v>5772</v>
      </c>
    </row>
    <row r="233" spans="1:8" x14ac:dyDescent="0.25">
      <c r="A233">
        <v>2023</v>
      </c>
      <c r="B233" t="s">
        <v>15</v>
      </c>
      <c r="C233" t="s">
        <v>24</v>
      </c>
      <c r="D233" t="s">
        <v>27</v>
      </c>
      <c r="E233">
        <v>179</v>
      </c>
      <c r="F233">
        <v>254</v>
      </c>
      <c r="G233">
        <v>45466</v>
      </c>
      <c r="H233">
        <v>8530</v>
      </c>
    </row>
    <row r="234" spans="1:8" x14ac:dyDescent="0.25">
      <c r="A234">
        <v>2023</v>
      </c>
      <c r="B234" t="s">
        <v>15</v>
      </c>
      <c r="C234" t="s">
        <v>24</v>
      </c>
      <c r="D234" t="s">
        <v>28</v>
      </c>
      <c r="E234">
        <v>108</v>
      </c>
      <c r="F234">
        <v>259</v>
      </c>
      <c r="G234">
        <v>27972</v>
      </c>
      <c r="H234">
        <v>5258</v>
      </c>
    </row>
    <row r="235" spans="1:8" x14ac:dyDescent="0.25">
      <c r="A235">
        <v>2023</v>
      </c>
      <c r="B235" t="s">
        <v>15</v>
      </c>
      <c r="C235" t="s">
        <v>24</v>
      </c>
      <c r="D235" t="s">
        <v>29</v>
      </c>
      <c r="E235">
        <v>301</v>
      </c>
      <c r="F235">
        <v>232</v>
      </c>
      <c r="G235">
        <v>69832</v>
      </c>
      <c r="H235">
        <v>9955</v>
      </c>
    </row>
    <row r="236" spans="1:8" x14ac:dyDescent="0.25">
      <c r="A236">
        <v>2023</v>
      </c>
      <c r="B236" t="s">
        <v>15</v>
      </c>
      <c r="C236" t="s">
        <v>24</v>
      </c>
      <c r="D236" t="s">
        <v>30</v>
      </c>
      <c r="E236">
        <v>81</v>
      </c>
      <c r="F236">
        <v>281</v>
      </c>
      <c r="G236">
        <v>22761</v>
      </c>
      <c r="H236">
        <v>4350</v>
      </c>
    </row>
    <row r="237" spans="1:8" x14ac:dyDescent="0.25">
      <c r="A237">
        <v>2023</v>
      </c>
      <c r="B237" t="s">
        <v>15</v>
      </c>
      <c r="C237" t="s">
        <v>25</v>
      </c>
      <c r="D237" t="s">
        <v>26</v>
      </c>
      <c r="E237">
        <v>376</v>
      </c>
      <c r="F237">
        <v>401</v>
      </c>
      <c r="G237">
        <v>150776</v>
      </c>
      <c r="H237">
        <v>28778</v>
      </c>
    </row>
    <row r="238" spans="1:8" x14ac:dyDescent="0.25">
      <c r="A238">
        <v>2023</v>
      </c>
      <c r="B238" t="s">
        <v>15</v>
      </c>
      <c r="C238" t="s">
        <v>25</v>
      </c>
      <c r="D238" t="s">
        <v>27</v>
      </c>
      <c r="E238">
        <v>352</v>
      </c>
      <c r="F238">
        <v>315</v>
      </c>
      <c r="G238">
        <v>110880</v>
      </c>
      <c r="H238">
        <v>14835</v>
      </c>
    </row>
    <row r="239" spans="1:8" x14ac:dyDescent="0.25">
      <c r="A239">
        <v>2023</v>
      </c>
      <c r="B239" t="s">
        <v>15</v>
      </c>
      <c r="C239" t="s">
        <v>25</v>
      </c>
      <c r="D239" t="s">
        <v>28</v>
      </c>
      <c r="E239">
        <v>142</v>
      </c>
      <c r="F239">
        <v>336</v>
      </c>
      <c r="G239">
        <v>47712</v>
      </c>
      <c r="H239">
        <v>5921</v>
      </c>
    </row>
    <row r="240" spans="1:8" x14ac:dyDescent="0.25">
      <c r="A240">
        <v>2023</v>
      </c>
      <c r="B240" t="s">
        <v>15</v>
      </c>
      <c r="C240" t="s">
        <v>25</v>
      </c>
      <c r="D240" t="s">
        <v>29</v>
      </c>
      <c r="E240">
        <v>379</v>
      </c>
      <c r="F240">
        <v>385</v>
      </c>
      <c r="G240">
        <v>145915</v>
      </c>
      <c r="H240">
        <v>15809</v>
      </c>
    </row>
    <row r="241" spans="1:8" x14ac:dyDescent="0.25">
      <c r="A241">
        <v>2023</v>
      </c>
      <c r="B241" t="s">
        <v>15</v>
      </c>
      <c r="C241" t="s">
        <v>25</v>
      </c>
      <c r="D241" t="s">
        <v>30</v>
      </c>
      <c r="E241">
        <v>206</v>
      </c>
      <c r="F241">
        <v>322</v>
      </c>
      <c r="G241">
        <v>66332</v>
      </c>
      <c r="H241">
        <v>11851</v>
      </c>
    </row>
    <row r="242" spans="1:8" x14ac:dyDescent="0.25">
      <c r="A242">
        <v>2023</v>
      </c>
      <c r="B242" t="s">
        <v>16</v>
      </c>
      <c r="C242" t="s">
        <v>20</v>
      </c>
      <c r="D242" t="s">
        <v>26</v>
      </c>
      <c r="E242">
        <v>113</v>
      </c>
      <c r="F242">
        <v>1289</v>
      </c>
      <c r="G242">
        <v>145657</v>
      </c>
      <c r="H242">
        <v>36354</v>
      </c>
    </row>
    <row r="243" spans="1:8" x14ac:dyDescent="0.25">
      <c r="A243">
        <v>2023</v>
      </c>
      <c r="B243" t="s">
        <v>16</v>
      </c>
      <c r="C243" t="s">
        <v>20</v>
      </c>
      <c r="D243" t="s">
        <v>27</v>
      </c>
      <c r="E243">
        <v>80</v>
      </c>
      <c r="F243">
        <v>1199</v>
      </c>
      <c r="G243">
        <v>95920</v>
      </c>
      <c r="H243">
        <v>23540</v>
      </c>
    </row>
    <row r="244" spans="1:8" x14ac:dyDescent="0.25">
      <c r="A244">
        <v>2023</v>
      </c>
      <c r="B244" t="s">
        <v>16</v>
      </c>
      <c r="C244" t="s">
        <v>20</v>
      </c>
      <c r="D244" t="s">
        <v>28</v>
      </c>
      <c r="E244">
        <v>78</v>
      </c>
      <c r="F244">
        <v>1081</v>
      </c>
      <c r="G244">
        <v>84318</v>
      </c>
      <c r="H244">
        <v>20764</v>
      </c>
    </row>
    <row r="245" spans="1:8" x14ac:dyDescent="0.25">
      <c r="A245">
        <v>2023</v>
      </c>
      <c r="B245" t="s">
        <v>16</v>
      </c>
      <c r="C245" t="s">
        <v>20</v>
      </c>
      <c r="D245" t="s">
        <v>29</v>
      </c>
      <c r="E245">
        <v>164</v>
      </c>
      <c r="F245">
        <v>1131</v>
      </c>
      <c r="G245">
        <v>185484</v>
      </c>
      <c r="H245">
        <v>37151</v>
      </c>
    </row>
    <row r="246" spans="1:8" x14ac:dyDescent="0.25">
      <c r="A246">
        <v>2023</v>
      </c>
      <c r="B246" t="s">
        <v>16</v>
      </c>
      <c r="C246" t="s">
        <v>20</v>
      </c>
      <c r="D246" t="s">
        <v>30</v>
      </c>
      <c r="E246">
        <v>259</v>
      </c>
      <c r="F246">
        <v>1247</v>
      </c>
      <c r="G246">
        <v>322973</v>
      </c>
      <c r="H246">
        <v>59989</v>
      </c>
    </row>
    <row r="247" spans="1:8" x14ac:dyDescent="0.25">
      <c r="A247">
        <v>2023</v>
      </c>
      <c r="B247" t="s">
        <v>16</v>
      </c>
      <c r="C247" t="s">
        <v>21</v>
      </c>
      <c r="D247" t="s">
        <v>26</v>
      </c>
      <c r="E247">
        <v>239</v>
      </c>
      <c r="F247">
        <v>873</v>
      </c>
      <c r="G247">
        <v>208647</v>
      </c>
      <c r="H247">
        <v>26718</v>
      </c>
    </row>
    <row r="248" spans="1:8" x14ac:dyDescent="0.25">
      <c r="A248">
        <v>2023</v>
      </c>
      <c r="B248" t="s">
        <v>16</v>
      </c>
      <c r="C248" t="s">
        <v>21</v>
      </c>
      <c r="D248" t="s">
        <v>27</v>
      </c>
      <c r="E248">
        <v>187</v>
      </c>
      <c r="F248">
        <v>862</v>
      </c>
      <c r="G248">
        <v>161194</v>
      </c>
      <c r="H248">
        <v>20943</v>
      </c>
    </row>
    <row r="249" spans="1:8" x14ac:dyDescent="0.25">
      <c r="A249">
        <v>2023</v>
      </c>
      <c r="B249" t="s">
        <v>16</v>
      </c>
      <c r="C249" t="s">
        <v>21</v>
      </c>
      <c r="D249" t="s">
        <v>28</v>
      </c>
      <c r="E249">
        <v>94</v>
      </c>
      <c r="F249">
        <v>768</v>
      </c>
      <c r="G249">
        <v>72192</v>
      </c>
      <c r="H249">
        <v>8462</v>
      </c>
    </row>
    <row r="250" spans="1:8" x14ac:dyDescent="0.25">
      <c r="A250">
        <v>2023</v>
      </c>
      <c r="B250" t="s">
        <v>16</v>
      </c>
      <c r="C250" t="s">
        <v>21</v>
      </c>
      <c r="D250" t="s">
        <v>29</v>
      </c>
      <c r="E250">
        <v>160</v>
      </c>
      <c r="F250">
        <v>873</v>
      </c>
      <c r="G250">
        <v>139680</v>
      </c>
      <c r="H250">
        <v>15796</v>
      </c>
    </row>
    <row r="251" spans="1:8" x14ac:dyDescent="0.25">
      <c r="A251">
        <v>2023</v>
      </c>
      <c r="B251" t="s">
        <v>16</v>
      </c>
      <c r="C251" t="s">
        <v>21</v>
      </c>
      <c r="D251" t="s">
        <v>30</v>
      </c>
      <c r="E251">
        <v>207</v>
      </c>
      <c r="F251">
        <v>906</v>
      </c>
      <c r="G251">
        <v>187542</v>
      </c>
      <c r="H251">
        <v>27774</v>
      </c>
    </row>
    <row r="252" spans="1:8" x14ac:dyDescent="0.25">
      <c r="A252">
        <v>2023</v>
      </c>
      <c r="B252" t="s">
        <v>16</v>
      </c>
      <c r="C252" t="s">
        <v>22</v>
      </c>
      <c r="D252" t="s">
        <v>26</v>
      </c>
      <c r="E252">
        <v>321</v>
      </c>
      <c r="F252">
        <v>109</v>
      </c>
      <c r="G252">
        <v>34989</v>
      </c>
      <c r="H252">
        <v>5265</v>
      </c>
    </row>
    <row r="253" spans="1:8" x14ac:dyDescent="0.25">
      <c r="A253">
        <v>2023</v>
      </c>
      <c r="B253" t="s">
        <v>16</v>
      </c>
      <c r="C253" t="s">
        <v>22</v>
      </c>
      <c r="D253" t="s">
        <v>27</v>
      </c>
      <c r="E253">
        <v>84</v>
      </c>
      <c r="F253">
        <v>124</v>
      </c>
      <c r="G253">
        <v>10416</v>
      </c>
      <c r="H253">
        <v>1899</v>
      </c>
    </row>
    <row r="254" spans="1:8" x14ac:dyDescent="0.25">
      <c r="A254">
        <v>2023</v>
      </c>
      <c r="B254" t="s">
        <v>16</v>
      </c>
      <c r="C254" t="s">
        <v>22</v>
      </c>
      <c r="D254" t="s">
        <v>28</v>
      </c>
      <c r="E254">
        <v>87</v>
      </c>
      <c r="F254">
        <v>128</v>
      </c>
      <c r="G254">
        <v>11136</v>
      </c>
      <c r="H254">
        <v>1260</v>
      </c>
    </row>
    <row r="255" spans="1:8" x14ac:dyDescent="0.25">
      <c r="A255">
        <v>2023</v>
      </c>
      <c r="B255" t="s">
        <v>16</v>
      </c>
      <c r="C255" t="s">
        <v>22</v>
      </c>
      <c r="D255" t="s">
        <v>29</v>
      </c>
      <c r="E255">
        <v>378</v>
      </c>
      <c r="F255">
        <v>128</v>
      </c>
      <c r="G255">
        <v>48384</v>
      </c>
      <c r="H255">
        <v>10355</v>
      </c>
    </row>
    <row r="256" spans="1:8" x14ac:dyDescent="0.25">
      <c r="A256">
        <v>2023</v>
      </c>
      <c r="B256" t="s">
        <v>16</v>
      </c>
      <c r="C256" t="s">
        <v>22</v>
      </c>
      <c r="D256" t="s">
        <v>30</v>
      </c>
      <c r="E256">
        <v>111</v>
      </c>
      <c r="F256">
        <v>120</v>
      </c>
      <c r="G256">
        <v>13320</v>
      </c>
      <c r="H256">
        <v>2029</v>
      </c>
    </row>
    <row r="257" spans="1:8" x14ac:dyDescent="0.25">
      <c r="A257">
        <v>2023</v>
      </c>
      <c r="B257" t="s">
        <v>16</v>
      </c>
      <c r="C257" t="s">
        <v>23</v>
      </c>
      <c r="D257" t="s">
        <v>26</v>
      </c>
      <c r="E257">
        <v>364</v>
      </c>
      <c r="F257">
        <v>667</v>
      </c>
      <c r="G257">
        <v>242788</v>
      </c>
      <c r="H257">
        <v>51445</v>
      </c>
    </row>
    <row r="258" spans="1:8" x14ac:dyDescent="0.25">
      <c r="A258">
        <v>2023</v>
      </c>
      <c r="B258" t="s">
        <v>16</v>
      </c>
      <c r="C258" t="s">
        <v>23</v>
      </c>
      <c r="D258" t="s">
        <v>27</v>
      </c>
      <c r="E258">
        <v>205</v>
      </c>
      <c r="F258">
        <v>570</v>
      </c>
      <c r="G258">
        <v>116850</v>
      </c>
      <c r="H258">
        <v>18331</v>
      </c>
    </row>
    <row r="259" spans="1:8" x14ac:dyDescent="0.25">
      <c r="A259">
        <v>2023</v>
      </c>
      <c r="B259" t="s">
        <v>16</v>
      </c>
      <c r="C259" t="s">
        <v>23</v>
      </c>
      <c r="D259" t="s">
        <v>28</v>
      </c>
      <c r="E259">
        <v>76</v>
      </c>
      <c r="F259">
        <v>651</v>
      </c>
      <c r="G259">
        <v>49476</v>
      </c>
      <c r="H259">
        <v>9210</v>
      </c>
    </row>
    <row r="260" spans="1:8" x14ac:dyDescent="0.25">
      <c r="A260">
        <v>2023</v>
      </c>
      <c r="B260" t="s">
        <v>16</v>
      </c>
      <c r="C260" t="s">
        <v>23</v>
      </c>
      <c r="D260" t="s">
        <v>29</v>
      </c>
      <c r="E260">
        <v>379</v>
      </c>
      <c r="F260">
        <v>657</v>
      </c>
      <c r="G260">
        <v>249003</v>
      </c>
      <c r="H260">
        <v>55824</v>
      </c>
    </row>
    <row r="261" spans="1:8" x14ac:dyDescent="0.25">
      <c r="A261">
        <v>2023</v>
      </c>
      <c r="B261" t="s">
        <v>16</v>
      </c>
      <c r="C261" t="s">
        <v>23</v>
      </c>
      <c r="D261" t="s">
        <v>30</v>
      </c>
      <c r="E261">
        <v>292</v>
      </c>
      <c r="F261">
        <v>570</v>
      </c>
      <c r="G261">
        <v>166440</v>
      </c>
      <c r="H261">
        <v>20729</v>
      </c>
    </row>
    <row r="262" spans="1:8" x14ac:dyDescent="0.25">
      <c r="A262">
        <v>2023</v>
      </c>
      <c r="B262" t="s">
        <v>16</v>
      </c>
      <c r="C262" t="s">
        <v>24</v>
      </c>
      <c r="D262" t="s">
        <v>26</v>
      </c>
      <c r="E262">
        <v>277</v>
      </c>
      <c r="F262">
        <v>236</v>
      </c>
      <c r="G262">
        <v>65372</v>
      </c>
      <c r="H262">
        <v>8848</v>
      </c>
    </row>
    <row r="263" spans="1:8" x14ac:dyDescent="0.25">
      <c r="A263">
        <v>2023</v>
      </c>
      <c r="B263" t="s">
        <v>16</v>
      </c>
      <c r="C263" t="s">
        <v>24</v>
      </c>
      <c r="D263" t="s">
        <v>27</v>
      </c>
      <c r="E263">
        <v>149</v>
      </c>
      <c r="F263">
        <v>257</v>
      </c>
      <c r="G263">
        <v>38293</v>
      </c>
      <c r="H263">
        <v>5890</v>
      </c>
    </row>
    <row r="264" spans="1:8" x14ac:dyDescent="0.25">
      <c r="A264">
        <v>2023</v>
      </c>
      <c r="B264" t="s">
        <v>16</v>
      </c>
      <c r="C264" t="s">
        <v>24</v>
      </c>
      <c r="D264" t="s">
        <v>28</v>
      </c>
      <c r="E264">
        <v>300</v>
      </c>
      <c r="F264">
        <v>261</v>
      </c>
      <c r="G264">
        <v>78300</v>
      </c>
      <c r="H264">
        <v>15851</v>
      </c>
    </row>
    <row r="265" spans="1:8" x14ac:dyDescent="0.25">
      <c r="A265">
        <v>2023</v>
      </c>
      <c r="B265" t="s">
        <v>16</v>
      </c>
      <c r="C265" t="s">
        <v>24</v>
      </c>
      <c r="D265" t="s">
        <v>29</v>
      </c>
      <c r="E265">
        <v>355</v>
      </c>
      <c r="F265">
        <v>269</v>
      </c>
      <c r="G265">
        <v>95495</v>
      </c>
      <c r="H265">
        <v>22436</v>
      </c>
    </row>
    <row r="266" spans="1:8" x14ac:dyDescent="0.25">
      <c r="A266">
        <v>2023</v>
      </c>
      <c r="B266" t="s">
        <v>16</v>
      </c>
      <c r="C266" t="s">
        <v>24</v>
      </c>
      <c r="D266" t="s">
        <v>30</v>
      </c>
      <c r="E266">
        <v>193</v>
      </c>
      <c r="F266">
        <v>243</v>
      </c>
      <c r="G266">
        <v>46899</v>
      </c>
      <c r="H266">
        <v>9949</v>
      </c>
    </row>
    <row r="267" spans="1:8" x14ac:dyDescent="0.25">
      <c r="A267">
        <v>2023</v>
      </c>
      <c r="B267" t="s">
        <v>16</v>
      </c>
      <c r="C267" t="s">
        <v>25</v>
      </c>
      <c r="D267" t="s">
        <v>26</v>
      </c>
      <c r="E267">
        <v>210</v>
      </c>
      <c r="F267">
        <v>365</v>
      </c>
      <c r="G267">
        <v>76650</v>
      </c>
      <c r="H267">
        <v>11750</v>
      </c>
    </row>
    <row r="268" spans="1:8" x14ac:dyDescent="0.25">
      <c r="A268">
        <v>2023</v>
      </c>
      <c r="B268" t="s">
        <v>16</v>
      </c>
      <c r="C268" t="s">
        <v>25</v>
      </c>
      <c r="D268" t="s">
        <v>27</v>
      </c>
      <c r="E268">
        <v>368</v>
      </c>
      <c r="F268">
        <v>394</v>
      </c>
      <c r="G268">
        <v>144992</v>
      </c>
      <c r="H268">
        <v>28075</v>
      </c>
    </row>
    <row r="269" spans="1:8" x14ac:dyDescent="0.25">
      <c r="A269">
        <v>2023</v>
      </c>
      <c r="B269" t="s">
        <v>16</v>
      </c>
      <c r="C269" t="s">
        <v>25</v>
      </c>
      <c r="D269" t="s">
        <v>28</v>
      </c>
      <c r="E269">
        <v>263</v>
      </c>
      <c r="F269">
        <v>397</v>
      </c>
      <c r="G269">
        <v>104411</v>
      </c>
      <c r="H269">
        <v>20272</v>
      </c>
    </row>
    <row r="270" spans="1:8" x14ac:dyDescent="0.25">
      <c r="A270">
        <v>2023</v>
      </c>
      <c r="B270" t="s">
        <v>16</v>
      </c>
      <c r="C270" t="s">
        <v>25</v>
      </c>
      <c r="D270" t="s">
        <v>29</v>
      </c>
      <c r="E270">
        <v>114</v>
      </c>
      <c r="F270">
        <v>327</v>
      </c>
      <c r="G270">
        <v>37278</v>
      </c>
      <c r="H270">
        <v>8167</v>
      </c>
    </row>
    <row r="271" spans="1:8" x14ac:dyDescent="0.25">
      <c r="A271">
        <v>2023</v>
      </c>
      <c r="B271" t="s">
        <v>16</v>
      </c>
      <c r="C271" t="s">
        <v>25</v>
      </c>
      <c r="D271" t="s">
        <v>30</v>
      </c>
      <c r="E271">
        <v>224</v>
      </c>
      <c r="F271">
        <v>358</v>
      </c>
      <c r="G271">
        <v>80192</v>
      </c>
      <c r="H271">
        <v>16938</v>
      </c>
    </row>
    <row r="272" spans="1:8" x14ac:dyDescent="0.25">
      <c r="A272">
        <v>2023</v>
      </c>
      <c r="B272" t="s">
        <v>17</v>
      </c>
      <c r="C272" t="s">
        <v>20</v>
      </c>
      <c r="D272" t="s">
        <v>26</v>
      </c>
      <c r="E272">
        <v>225</v>
      </c>
      <c r="F272">
        <v>1125</v>
      </c>
      <c r="G272">
        <v>253125</v>
      </c>
      <c r="H272">
        <v>37148</v>
      </c>
    </row>
    <row r="273" spans="1:8" x14ac:dyDescent="0.25">
      <c r="A273">
        <v>2023</v>
      </c>
      <c r="B273" t="s">
        <v>17</v>
      </c>
      <c r="C273" t="s">
        <v>20</v>
      </c>
      <c r="D273" t="s">
        <v>27</v>
      </c>
      <c r="E273">
        <v>352</v>
      </c>
      <c r="F273">
        <v>1090</v>
      </c>
      <c r="G273">
        <v>383680</v>
      </c>
      <c r="H273">
        <v>71166</v>
      </c>
    </row>
    <row r="274" spans="1:8" x14ac:dyDescent="0.25">
      <c r="A274">
        <v>2023</v>
      </c>
      <c r="B274" t="s">
        <v>17</v>
      </c>
      <c r="C274" t="s">
        <v>20</v>
      </c>
      <c r="D274" t="s">
        <v>28</v>
      </c>
      <c r="E274">
        <v>85</v>
      </c>
      <c r="F274">
        <v>1228</v>
      </c>
      <c r="G274">
        <v>104380</v>
      </c>
      <c r="H274">
        <v>22253</v>
      </c>
    </row>
    <row r="275" spans="1:8" x14ac:dyDescent="0.25">
      <c r="A275">
        <v>2023</v>
      </c>
      <c r="B275" t="s">
        <v>17</v>
      </c>
      <c r="C275" t="s">
        <v>20</v>
      </c>
      <c r="D275" t="s">
        <v>29</v>
      </c>
      <c r="E275">
        <v>188</v>
      </c>
      <c r="F275">
        <v>1326</v>
      </c>
      <c r="G275">
        <v>249288</v>
      </c>
      <c r="H275">
        <v>29065</v>
      </c>
    </row>
    <row r="276" spans="1:8" x14ac:dyDescent="0.25">
      <c r="A276">
        <v>2023</v>
      </c>
      <c r="B276" t="s">
        <v>17</v>
      </c>
      <c r="C276" t="s">
        <v>20</v>
      </c>
      <c r="D276" t="s">
        <v>30</v>
      </c>
      <c r="E276">
        <v>293</v>
      </c>
      <c r="F276">
        <v>1217</v>
      </c>
      <c r="G276">
        <v>356581</v>
      </c>
      <c r="H276">
        <v>67962</v>
      </c>
    </row>
    <row r="277" spans="1:8" x14ac:dyDescent="0.25">
      <c r="A277">
        <v>2023</v>
      </c>
      <c r="B277" t="s">
        <v>17</v>
      </c>
      <c r="C277" t="s">
        <v>21</v>
      </c>
      <c r="D277" t="s">
        <v>26</v>
      </c>
      <c r="E277">
        <v>89</v>
      </c>
      <c r="F277">
        <v>879</v>
      </c>
      <c r="G277">
        <v>78231</v>
      </c>
      <c r="H277">
        <v>9582</v>
      </c>
    </row>
    <row r="278" spans="1:8" x14ac:dyDescent="0.25">
      <c r="A278">
        <v>2023</v>
      </c>
      <c r="B278" t="s">
        <v>17</v>
      </c>
      <c r="C278" t="s">
        <v>21</v>
      </c>
      <c r="D278" t="s">
        <v>27</v>
      </c>
      <c r="E278">
        <v>120</v>
      </c>
      <c r="F278">
        <v>801</v>
      </c>
      <c r="G278">
        <v>96120</v>
      </c>
      <c r="H278">
        <v>20740</v>
      </c>
    </row>
    <row r="279" spans="1:8" x14ac:dyDescent="0.25">
      <c r="A279">
        <v>2023</v>
      </c>
      <c r="B279" t="s">
        <v>17</v>
      </c>
      <c r="C279" t="s">
        <v>21</v>
      </c>
      <c r="D279" t="s">
        <v>28</v>
      </c>
      <c r="E279">
        <v>166</v>
      </c>
      <c r="F279">
        <v>839</v>
      </c>
      <c r="G279">
        <v>139274</v>
      </c>
      <c r="H279">
        <v>25741</v>
      </c>
    </row>
    <row r="280" spans="1:8" x14ac:dyDescent="0.25">
      <c r="A280">
        <v>2023</v>
      </c>
      <c r="B280" t="s">
        <v>17</v>
      </c>
      <c r="C280" t="s">
        <v>21</v>
      </c>
      <c r="D280" t="s">
        <v>29</v>
      </c>
      <c r="E280">
        <v>345</v>
      </c>
      <c r="F280">
        <v>770</v>
      </c>
      <c r="G280">
        <v>265650</v>
      </c>
      <c r="H280">
        <v>40340</v>
      </c>
    </row>
    <row r="281" spans="1:8" x14ac:dyDescent="0.25">
      <c r="A281">
        <v>2023</v>
      </c>
      <c r="B281" t="s">
        <v>17</v>
      </c>
      <c r="C281" t="s">
        <v>21</v>
      </c>
      <c r="D281" t="s">
        <v>30</v>
      </c>
      <c r="E281">
        <v>86</v>
      </c>
      <c r="F281">
        <v>911</v>
      </c>
      <c r="G281">
        <v>78346</v>
      </c>
      <c r="H281">
        <v>11859</v>
      </c>
    </row>
    <row r="282" spans="1:8" x14ac:dyDescent="0.25">
      <c r="A282">
        <v>2023</v>
      </c>
      <c r="B282" t="s">
        <v>17</v>
      </c>
      <c r="C282" t="s">
        <v>22</v>
      </c>
      <c r="D282" t="s">
        <v>26</v>
      </c>
      <c r="E282">
        <v>203</v>
      </c>
      <c r="F282">
        <v>120</v>
      </c>
      <c r="G282">
        <v>24360</v>
      </c>
      <c r="H282">
        <v>4124</v>
      </c>
    </row>
    <row r="283" spans="1:8" x14ac:dyDescent="0.25">
      <c r="A283">
        <v>2023</v>
      </c>
      <c r="B283" t="s">
        <v>17</v>
      </c>
      <c r="C283" t="s">
        <v>22</v>
      </c>
      <c r="D283" t="s">
        <v>27</v>
      </c>
      <c r="E283">
        <v>364</v>
      </c>
      <c r="F283">
        <v>126</v>
      </c>
      <c r="G283">
        <v>45864</v>
      </c>
      <c r="H283">
        <v>10859</v>
      </c>
    </row>
    <row r="284" spans="1:8" x14ac:dyDescent="0.25">
      <c r="A284">
        <v>2023</v>
      </c>
      <c r="B284" t="s">
        <v>17</v>
      </c>
      <c r="C284" t="s">
        <v>22</v>
      </c>
      <c r="D284" t="s">
        <v>28</v>
      </c>
      <c r="E284">
        <v>175</v>
      </c>
      <c r="F284">
        <v>123</v>
      </c>
      <c r="G284">
        <v>21525</v>
      </c>
      <c r="H284">
        <v>4126</v>
      </c>
    </row>
    <row r="285" spans="1:8" x14ac:dyDescent="0.25">
      <c r="A285">
        <v>2023</v>
      </c>
      <c r="B285" t="s">
        <v>17</v>
      </c>
      <c r="C285" t="s">
        <v>22</v>
      </c>
      <c r="D285" t="s">
        <v>29</v>
      </c>
      <c r="E285">
        <v>181</v>
      </c>
      <c r="F285">
        <v>129</v>
      </c>
      <c r="G285">
        <v>23349</v>
      </c>
      <c r="H285">
        <v>4411</v>
      </c>
    </row>
    <row r="286" spans="1:8" x14ac:dyDescent="0.25">
      <c r="A286">
        <v>2023</v>
      </c>
      <c r="B286" t="s">
        <v>17</v>
      </c>
      <c r="C286" t="s">
        <v>22</v>
      </c>
      <c r="D286" t="s">
        <v>30</v>
      </c>
      <c r="E286">
        <v>202</v>
      </c>
      <c r="F286">
        <v>135</v>
      </c>
      <c r="G286">
        <v>27270</v>
      </c>
      <c r="H286">
        <v>5619</v>
      </c>
    </row>
    <row r="287" spans="1:8" x14ac:dyDescent="0.25">
      <c r="A287">
        <v>2023</v>
      </c>
      <c r="B287" t="s">
        <v>17</v>
      </c>
      <c r="C287" t="s">
        <v>23</v>
      </c>
      <c r="D287" t="s">
        <v>26</v>
      </c>
      <c r="E287">
        <v>176</v>
      </c>
      <c r="F287">
        <v>655</v>
      </c>
      <c r="G287">
        <v>115280</v>
      </c>
      <c r="H287">
        <v>18002</v>
      </c>
    </row>
    <row r="288" spans="1:8" x14ac:dyDescent="0.25">
      <c r="A288">
        <v>2023</v>
      </c>
      <c r="B288" t="s">
        <v>17</v>
      </c>
      <c r="C288" t="s">
        <v>23</v>
      </c>
      <c r="D288" t="s">
        <v>27</v>
      </c>
      <c r="E288">
        <v>124</v>
      </c>
      <c r="F288">
        <v>650</v>
      </c>
      <c r="G288">
        <v>80600</v>
      </c>
      <c r="H288">
        <v>19356</v>
      </c>
    </row>
    <row r="289" spans="1:8" x14ac:dyDescent="0.25">
      <c r="A289">
        <v>2023</v>
      </c>
      <c r="B289" t="s">
        <v>17</v>
      </c>
      <c r="C289" t="s">
        <v>23</v>
      </c>
      <c r="D289" t="s">
        <v>28</v>
      </c>
      <c r="E289">
        <v>280</v>
      </c>
      <c r="F289">
        <v>676</v>
      </c>
      <c r="G289">
        <v>189280</v>
      </c>
      <c r="H289">
        <v>22414</v>
      </c>
    </row>
    <row r="290" spans="1:8" x14ac:dyDescent="0.25">
      <c r="A290">
        <v>2023</v>
      </c>
      <c r="B290" t="s">
        <v>17</v>
      </c>
      <c r="C290" t="s">
        <v>23</v>
      </c>
      <c r="D290" t="s">
        <v>29</v>
      </c>
      <c r="E290">
        <v>172</v>
      </c>
      <c r="F290">
        <v>687</v>
      </c>
      <c r="G290">
        <v>118164</v>
      </c>
      <c r="H290">
        <v>26685</v>
      </c>
    </row>
    <row r="291" spans="1:8" x14ac:dyDescent="0.25">
      <c r="A291">
        <v>2023</v>
      </c>
      <c r="B291" t="s">
        <v>17</v>
      </c>
      <c r="C291" t="s">
        <v>23</v>
      </c>
      <c r="D291" t="s">
        <v>30</v>
      </c>
      <c r="E291">
        <v>249</v>
      </c>
      <c r="F291">
        <v>665</v>
      </c>
      <c r="G291">
        <v>165585</v>
      </c>
      <c r="H291">
        <v>24808</v>
      </c>
    </row>
    <row r="292" spans="1:8" x14ac:dyDescent="0.25">
      <c r="A292">
        <v>2023</v>
      </c>
      <c r="B292" t="s">
        <v>17</v>
      </c>
      <c r="C292" t="s">
        <v>24</v>
      </c>
      <c r="D292" t="s">
        <v>26</v>
      </c>
      <c r="E292">
        <v>128</v>
      </c>
      <c r="F292">
        <v>239</v>
      </c>
      <c r="G292">
        <v>30592</v>
      </c>
      <c r="H292">
        <v>5848</v>
      </c>
    </row>
    <row r="293" spans="1:8" x14ac:dyDescent="0.25">
      <c r="A293">
        <v>2023</v>
      </c>
      <c r="B293" t="s">
        <v>17</v>
      </c>
      <c r="C293" t="s">
        <v>24</v>
      </c>
      <c r="D293" t="s">
        <v>27</v>
      </c>
      <c r="E293">
        <v>371</v>
      </c>
      <c r="F293">
        <v>245</v>
      </c>
      <c r="G293">
        <v>90895</v>
      </c>
      <c r="H293">
        <v>20035</v>
      </c>
    </row>
    <row r="294" spans="1:8" x14ac:dyDescent="0.25">
      <c r="A294">
        <v>2023</v>
      </c>
      <c r="B294" t="s">
        <v>17</v>
      </c>
      <c r="C294" t="s">
        <v>24</v>
      </c>
      <c r="D294" t="s">
        <v>28</v>
      </c>
      <c r="E294">
        <v>187</v>
      </c>
      <c r="F294">
        <v>262</v>
      </c>
      <c r="G294">
        <v>48994</v>
      </c>
      <c r="H294">
        <v>5739</v>
      </c>
    </row>
    <row r="295" spans="1:8" x14ac:dyDescent="0.25">
      <c r="A295">
        <v>2023</v>
      </c>
      <c r="B295" t="s">
        <v>17</v>
      </c>
      <c r="C295" t="s">
        <v>24</v>
      </c>
      <c r="D295" t="s">
        <v>29</v>
      </c>
      <c r="E295">
        <v>309</v>
      </c>
      <c r="F295">
        <v>258</v>
      </c>
      <c r="G295">
        <v>79722</v>
      </c>
      <c r="H295">
        <v>18972</v>
      </c>
    </row>
    <row r="296" spans="1:8" x14ac:dyDescent="0.25">
      <c r="A296">
        <v>2023</v>
      </c>
      <c r="B296" t="s">
        <v>17</v>
      </c>
      <c r="C296" t="s">
        <v>24</v>
      </c>
      <c r="D296" t="s">
        <v>30</v>
      </c>
      <c r="E296">
        <v>276</v>
      </c>
      <c r="F296">
        <v>255</v>
      </c>
      <c r="G296">
        <v>70380</v>
      </c>
      <c r="H296">
        <v>16734</v>
      </c>
    </row>
    <row r="297" spans="1:8" x14ac:dyDescent="0.25">
      <c r="A297">
        <v>2023</v>
      </c>
      <c r="B297" t="s">
        <v>17</v>
      </c>
      <c r="C297" t="s">
        <v>25</v>
      </c>
      <c r="D297" t="s">
        <v>26</v>
      </c>
      <c r="E297">
        <v>198</v>
      </c>
      <c r="F297">
        <v>334</v>
      </c>
      <c r="G297">
        <v>66132</v>
      </c>
      <c r="H297">
        <v>11101</v>
      </c>
    </row>
    <row r="298" spans="1:8" x14ac:dyDescent="0.25">
      <c r="A298">
        <v>2023</v>
      </c>
      <c r="B298" t="s">
        <v>17</v>
      </c>
      <c r="C298" t="s">
        <v>25</v>
      </c>
      <c r="D298" t="s">
        <v>27</v>
      </c>
      <c r="E298">
        <v>246</v>
      </c>
      <c r="F298">
        <v>336</v>
      </c>
      <c r="G298">
        <v>82656</v>
      </c>
      <c r="H298">
        <v>15427</v>
      </c>
    </row>
    <row r="299" spans="1:8" x14ac:dyDescent="0.25">
      <c r="A299">
        <v>2023</v>
      </c>
      <c r="B299" t="s">
        <v>17</v>
      </c>
      <c r="C299" t="s">
        <v>25</v>
      </c>
      <c r="D299" t="s">
        <v>28</v>
      </c>
      <c r="E299">
        <v>247</v>
      </c>
      <c r="F299">
        <v>351</v>
      </c>
      <c r="G299">
        <v>86697</v>
      </c>
      <c r="H299">
        <v>20566</v>
      </c>
    </row>
    <row r="300" spans="1:8" x14ac:dyDescent="0.25">
      <c r="A300">
        <v>2023</v>
      </c>
      <c r="B300" t="s">
        <v>17</v>
      </c>
      <c r="C300" t="s">
        <v>25</v>
      </c>
      <c r="D300" t="s">
        <v>29</v>
      </c>
      <c r="E300">
        <v>244</v>
      </c>
      <c r="F300">
        <v>383</v>
      </c>
      <c r="G300">
        <v>93452</v>
      </c>
      <c r="H300">
        <v>13236</v>
      </c>
    </row>
    <row r="301" spans="1:8" x14ac:dyDescent="0.25">
      <c r="A301">
        <v>2023</v>
      </c>
      <c r="B301" t="s">
        <v>17</v>
      </c>
      <c r="C301" t="s">
        <v>25</v>
      </c>
      <c r="D301" t="s">
        <v>30</v>
      </c>
      <c r="E301">
        <v>222</v>
      </c>
      <c r="F301">
        <v>316</v>
      </c>
      <c r="G301">
        <v>70152</v>
      </c>
      <c r="H301">
        <v>13997</v>
      </c>
    </row>
    <row r="302" spans="1:8" x14ac:dyDescent="0.25">
      <c r="A302">
        <v>2023</v>
      </c>
      <c r="B302" t="s">
        <v>18</v>
      </c>
      <c r="C302" t="s">
        <v>20</v>
      </c>
      <c r="D302" t="s">
        <v>26</v>
      </c>
      <c r="E302">
        <v>158</v>
      </c>
      <c r="F302">
        <v>1217</v>
      </c>
      <c r="G302">
        <v>192286</v>
      </c>
      <c r="H302">
        <v>35302</v>
      </c>
    </row>
    <row r="303" spans="1:8" x14ac:dyDescent="0.25">
      <c r="A303">
        <v>2023</v>
      </c>
      <c r="B303" t="s">
        <v>18</v>
      </c>
      <c r="C303" t="s">
        <v>20</v>
      </c>
      <c r="D303" t="s">
        <v>27</v>
      </c>
      <c r="E303">
        <v>138</v>
      </c>
      <c r="F303">
        <v>1379</v>
      </c>
      <c r="G303">
        <v>190302</v>
      </c>
      <c r="H303">
        <v>33365</v>
      </c>
    </row>
    <row r="304" spans="1:8" x14ac:dyDescent="0.25">
      <c r="A304">
        <v>2023</v>
      </c>
      <c r="B304" t="s">
        <v>18</v>
      </c>
      <c r="C304" t="s">
        <v>20</v>
      </c>
      <c r="D304" t="s">
        <v>28</v>
      </c>
      <c r="E304">
        <v>327</v>
      </c>
      <c r="F304">
        <v>1172</v>
      </c>
      <c r="G304">
        <v>383244</v>
      </c>
      <c r="H304">
        <v>61164</v>
      </c>
    </row>
    <row r="305" spans="1:8" x14ac:dyDescent="0.25">
      <c r="A305">
        <v>2023</v>
      </c>
      <c r="B305" t="s">
        <v>18</v>
      </c>
      <c r="C305" t="s">
        <v>20</v>
      </c>
      <c r="D305" t="s">
        <v>29</v>
      </c>
      <c r="E305">
        <v>282</v>
      </c>
      <c r="F305">
        <v>1184</v>
      </c>
      <c r="G305">
        <v>333888</v>
      </c>
      <c r="H305">
        <v>56839</v>
      </c>
    </row>
    <row r="306" spans="1:8" x14ac:dyDescent="0.25">
      <c r="A306">
        <v>2023</v>
      </c>
      <c r="B306" t="s">
        <v>18</v>
      </c>
      <c r="C306" t="s">
        <v>20</v>
      </c>
      <c r="D306" t="s">
        <v>30</v>
      </c>
      <c r="E306">
        <v>374</v>
      </c>
      <c r="F306">
        <v>1090</v>
      </c>
      <c r="G306">
        <v>407660</v>
      </c>
      <c r="H306">
        <v>69632</v>
      </c>
    </row>
    <row r="307" spans="1:8" x14ac:dyDescent="0.25">
      <c r="A307">
        <v>2023</v>
      </c>
      <c r="B307" t="s">
        <v>18</v>
      </c>
      <c r="C307" t="s">
        <v>21</v>
      </c>
      <c r="D307" t="s">
        <v>26</v>
      </c>
      <c r="E307">
        <v>95</v>
      </c>
      <c r="F307">
        <v>733</v>
      </c>
      <c r="G307">
        <v>69635</v>
      </c>
      <c r="H307">
        <v>15064</v>
      </c>
    </row>
    <row r="308" spans="1:8" x14ac:dyDescent="0.25">
      <c r="A308">
        <v>2023</v>
      </c>
      <c r="B308" t="s">
        <v>18</v>
      </c>
      <c r="C308" t="s">
        <v>21</v>
      </c>
      <c r="D308" t="s">
        <v>27</v>
      </c>
      <c r="E308">
        <v>247</v>
      </c>
      <c r="F308">
        <v>825</v>
      </c>
      <c r="G308">
        <v>203775</v>
      </c>
      <c r="H308">
        <v>36713</v>
      </c>
    </row>
    <row r="309" spans="1:8" x14ac:dyDescent="0.25">
      <c r="A309">
        <v>2023</v>
      </c>
      <c r="B309" t="s">
        <v>18</v>
      </c>
      <c r="C309" t="s">
        <v>21</v>
      </c>
      <c r="D309" t="s">
        <v>28</v>
      </c>
      <c r="E309">
        <v>187</v>
      </c>
      <c r="F309">
        <v>800</v>
      </c>
      <c r="G309">
        <v>149600</v>
      </c>
      <c r="H309">
        <v>27518</v>
      </c>
    </row>
    <row r="310" spans="1:8" x14ac:dyDescent="0.25">
      <c r="A310">
        <v>2023</v>
      </c>
      <c r="B310" t="s">
        <v>18</v>
      </c>
      <c r="C310" t="s">
        <v>21</v>
      </c>
      <c r="D310" t="s">
        <v>29</v>
      </c>
      <c r="E310">
        <v>388</v>
      </c>
      <c r="F310">
        <v>740</v>
      </c>
      <c r="G310">
        <v>287120</v>
      </c>
      <c r="H310">
        <v>43112</v>
      </c>
    </row>
    <row r="311" spans="1:8" x14ac:dyDescent="0.25">
      <c r="A311">
        <v>2023</v>
      </c>
      <c r="B311" t="s">
        <v>18</v>
      </c>
      <c r="C311" t="s">
        <v>21</v>
      </c>
      <c r="D311" t="s">
        <v>30</v>
      </c>
      <c r="E311">
        <v>130</v>
      </c>
      <c r="F311">
        <v>909</v>
      </c>
      <c r="G311">
        <v>118170</v>
      </c>
      <c r="H311">
        <v>18434</v>
      </c>
    </row>
    <row r="312" spans="1:8" x14ac:dyDescent="0.25">
      <c r="A312">
        <v>2023</v>
      </c>
      <c r="B312" t="s">
        <v>18</v>
      </c>
      <c r="C312" t="s">
        <v>22</v>
      </c>
      <c r="D312" t="s">
        <v>26</v>
      </c>
      <c r="E312">
        <v>234</v>
      </c>
      <c r="F312">
        <v>120</v>
      </c>
      <c r="G312">
        <v>28080</v>
      </c>
      <c r="H312">
        <v>2914</v>
      </c>
    </row>
    <row r="313" spans="1:8" x14ac:dyDescent="0.25">
      <c r="A313">
        <v>2023</v>
      </c>
      <c r="B313" t="s">
        <v>18</v>
      </c>
      <c r="C313" t="s">
        <v>22</v>
      </c>
      <c r="D313" t="s">
        <v>27</v>
      </c>
      <c r="E313">
        <v>357</v>
      </c>
      <c r="F313">
        <v>129</v>
      </c>
      <c r="G313">
        <v>46053</v>
      </c>
      <c r="H313">
        <v>9157</v>
      </c>
    </row>
    <row r="314" spans="1:8" x14ac:dyDescent="0.25">
      <c r="A314">
        <v>2023</v>
      </c>
      <c r="B314" t="s">
        <v>18</v>
      </c>
      <c r="C314" t="s">
        <v>22</v>
      </c>
      <c r="D314" t="s">
        <v>28</v>
      </c>
      <c r="E314">
        <v>382</v>
      </c>
      <c r="F314">
        <v>114</v>
      </c>
      <c r="G314">
        <v>43548</v>
      </c>
      <c r="H314">
        <v>5864</v>
      </c>
    </row>
    <row r="315" spans="1:8" x14ac:dyDescent="0.25">
      <c r="A315">
        <v>2023</v>
      </c>
      <c r="B315" t="s">
        <v>18</v>
      </c>
      <c r="C315" t="s">
        <v>22</v>
      </c>
      <c r="D315" t="s">
        <v>29</v>
      </c>
      <c r="E315">
        <v>325</v>
      </c>
      <c r="F315">
        <v>108</v>
      </c>
      <c r="G315">
        <v>35100</v>
      </c>
      <c r="H315">
        <v>4058</v>
      </c>
    </row>
    <row r="316" spans="1:8" x14ac:dyDescent="0.25">
      <c r="A316">
        <v>2023</v>
      </c>
      <c r="B316" t="s">
        <v>18</v>
      </c>
      <c r="C316" t="s">
        <v>22</v>
      </c>
      <c r="D316" t="s">
        <v>30</v>
      </c>
      <c r="E316">
        <v>310</v>
      </c>
      <c r="F316">
        <v>125</v>
      </c>
      <c r="G316">
        <v>38750</v>
      </c>
      <c r="H316">
        <v>9033</v>
      </c>
    </row>
    <row r="317" spans="1:8" x14ac:dyDescent="0.25">
      <c r="A317">
        <v>2023</v>
      </c>
      <c r="B317" t="s">
        <v>18</v>
      </c>
      <c r="C317" t="s">
        <v>23</v>
      </c>
      <c r="D317" t="s">
        <v>26</v>
      </c>
      <c r="E317">
        <v>166</v>
      </c>
      <c r="F317">
        <v>575</v>
      </c>
      <c r="G317">
        <v>95450</v>
      </c>
      <c r="H317">
        <v>10968</v>
      </c>
    </row>
    <row r="318" spans="1:8" x14ac:dyDescent="0.25">
      <c r="A318">
        <v>2023</v>
      </c>
      <c r="B318" t="s">
        <v>18</v>
      </c>
      <c r="C318" t="s">
        <v>23</v>
      </c>
      <c r="D318" t="s">
        <v>27</v>
      </c>
      <c r="E318">
        <v>170</v>
      </c>
      <c r="F318">
        <v>688</v>
      </c>
      <c r="G318">
        <v>116960</v>
      </c>
      <c r="H318">
        <v>22278</v>
      </c>
    </row>
    <row r="319" spans="1:8" x14ac:dyDescent="0.25">
      <c r="A319">
        <v>2023</v>
      </c>
      <c r="B319" t="s">
        <v>18</v>
      </c>
      <c r="C319" t="s">
        <v>23</v>
      </c>
      <c r="D319" t="s">
        <v>28</v>
      </c>
      <c r="E319">
        <v>371</v>
      </c>
      <c r="F319">
        <v>664</v>
      </c>
      <c r="G319">
        <v>246344</v>
      </c>
      <c r="H319">
        <v>39310</v>
      </c>
    </row>
    <row r="320" spans="1:8" x14ac:dyDescent="0.25">
      <c r="A320">
        <v>2023</v>
      </c>
      <c r="B320" t="s">
        <v>18</v>
      </c>
      <c r="C320" t="s">
        <v>23</v>
      </c>
      <c r="D320" t="s">
        <v>29</v>
      </c>
      <c r="E320">
        <v>237</v>
      </c>
      <c r="F320">
        <v>561</v>
      </c>
      <c r="G320">
        <v>132957</v>
      </c>
      <c r="H320">
        <v>21400</v>
      </c>
    </row>
    <row r="321" spans="1:8" x14ac:dyDescent="0.25">
      <c r="A321">
        <v>2023</v>
      </c>
      <c r="B321" t="s">
        <v>18</v>
      </c>
      <c r="C321" t="s">
        <v>23</v>
      </c>
      <c r="D321" t="s">
        <v>30</v>
      </c>
      <c r="E321">
        <v>380</v>
      </c>
      <c r="F321">
        <v>674</v>
      </c>
      <c r="G321">
        <v>256120</v>
      </c>
      <c r="H321">
        <v>26111</v>
      </c>
    </row>
    <row r="322" spans="1:8" x14ac:dyDescent="0.25">
      <c r="A322">
        <v>2023</v>
      </c>
      <c r="B322" t="s">
        <v>18</v>
      </c>
      <c r="C322" t="s">
        <v>24</v>
      </c>
      <c r="D322" t="s">
        <v>26</v>
      </c>
      <c r="E322">
        <v>333</v>
      </c>
      <c r="F322">
        <v>270</v>
      </c>
      <c r="G322">
        <v>89910</v>
      </c>
      <c r="H322">
        <v>20429</v>
      </c>
    </row>
    <row r="323" spans="1:8" x14ac:dyDescent="0.25">
      <c r="A323">
        <v>2023</v>
      </c>
      <c r="B323" t="s">
        <v>18</v>
      </c>
      <c r="C323" t="s">
        <v>24</v>
      </c>
      <c r="D323" t="s">
        <v>27</v>
      </c>
      <c r="E323">
        <v>186</v>
      </c>
      <c r="F323">
        <v>236</v>
      </c>
      <c r="G323">
        <v>43896</v>
      </c>
      <c r="H323">
        <v>8228</v>
      </c>
    </row>
    <row r="324" spans="1:8" x14ac:dyDescent="0.25">
      <c r="A324">
        <v>2023</v>
      </c>
      <c r="B324" t="s">
        <v>18</v>
      </c>
      <c r="C324" t="s">
        <v>24</v>
      </c>
      <c r="D324" t="s">
        <v>28</v>
      </c>
      <c r="E324">
        <v>260</v>
      </c>
      <c r="F324">
        <v>268</v>
      </c>
      <c r="G324">
        <v>69680</v>
      </c>
      <c r="H324">
        <v>16485</v>
      </c>
    </row>
    <row r="325" spans="1:8" x14ac:dyDescent="0.25">
      <c r="A325">
        <v>2023</v>
      </c>
      <c r="B325" t="s">
        <v>18</v>
      </c>
      <c r="C325" t="s">
        <v>24</v>
      </c>
      <c r="D325" t="s">
        <v>29</v>
      </c>
      <c r="E325">
        <v>269</v>
      </c>
      <c r="F325">
        <v>246</v>
      </c>
      <c r="G325">
        <v>66174</v>
      </c>
      <c r="H325">
        <v>9192</v>
      </c>
    </row>
    <row r="326" spans="1:8" x14ac:dyDescent="0.25">
      <c r="A326">
        <v>2023</v>
      </c>
      <c r="B326" t="s">
        <v>18</v>
      </c>
      <c r="C326" t="s">
        <v>24</v>
      </c>
      <c r="D326" t="s">
        <v>30</v>
      </c>
      <c r="E326">
        <v>267</v>
      </c>
      <c r="F326">
        <v>261</v>
      </c>
      <c r="G326">
        <v>69687</v>
      </c>
      <c r="H326">
        <v>9770</v>
      </c>
    </row>
    <row r="327" spans="1:8" x14ac:dyDescent="0.25">
      <c r="A327">
        <v>2023</v>
      </c>
      <c r="B327" t="s">
        <v>18</v>
      </c>
      <c r="C327" t="s">
        <v>25</v>
      </c>
      <c r="D327" t="s">
        <v>26</v>
      </c>
      <c r="E327">
        <v>331</v>
      </c>
      <c r="F327">
        <v>345</v>
      </c>
      <c r="G327">
        <v>114195</v>
      </c>
      <c r="H327">
        <v>24674</v>
      </c>
    </row>
    <row r="328" spans="1:8" x14ac:dyDescent="0.25">
      <c r="A328">
        <v>2023</v>
      </c>
      <c r="B328" t="s">
        <v>18</v>
      </c>
      <c r="C328" t="s">
        <v>25</v>
      </c>
      <c r="D328" t="s">
        <v>27</v>
      </c>
      <c r="E328">
        <v>297</v>
      </c>
      <c r="F328">
        <v>390</v>
      </c>
      <c r="G328">
        <v>115830</v>
      </c>
      <c r="H328">
        <v>15396</v>
      </c>
    </row>
    <row r="329" spans="1:8" x14ac:dyDescent="0.25">
      <c r="A329">
        <v>2023</v>
      </c>
      <c r="B329" t="s">
        <v>18</v>
      </c>
      <c r="C329" t="s">
        <v>25</v>
      </c>
      <c r="D329" t="s">
        <v>28</v>
      </c>
      <c r="E329">
        <v>350</v>
      </c>
      <c r="F329">
        <v>324</v>
      </c>
      <c r="G329">
        <v>113400</v>
      </c>
      <c r="H329">
        <v>20963</v>
      </c>
    </row>
    <row r="330" spans="1:8" x14ac:dyDescent="0.25">
      <c r="A330">
        <v>2023</v>
      </c>
      <c r="B330" t="s">
        <v>18</v>
      </c>
      <c r="C330" t="s">
        <v>25</v>
      </c>
      <c r="D330" t="s">
        <v>29</v>
      </c>
      <c r="E330">
        <v>134</v>
      </c>
      <c r="F330">
        <v>393</v>
      </c>
      <c r="G330">
        <v>52662</v>
      </c>
      <c r="H330">
        <v>11584</v>
      </c>
    </row>
    <row r="331" spans="1:8" x14ac:dyDescent="0.25">
      <c r="A331">
        <v>2023</v>
      </c>
      <c r="B331" t="s">
        <v>18</v>
      </c>
      <c r="C331" t="s">
        <v>25</v>
      </c>
      <c r="D331" t="s">
        <v>30</v>
      </c>
      <c r="E331">
        <v>280</v>
      </c>
      <c r="F331">
        <v>357</v>
      </c>
      <c r="G331">
        <v>99960</v>
      </c>
      <c r="H331">
        <v>17679</v>
      </c>
    </row>
    <row r="332" spans="1:8" x14ac:dyDescent="0.25">
      <c r="A332">
        <v>2023</v>
      </c>
      <c r="B332" t="s">
        <v>19</v>
      </c>
      <c r="C332" t="s">
        <v>20</v>
      </c>
      <c r="D332" t="s">
        <v>26</v>
      </c>
      <c r="E332">
        <v>88</v>
      </c>
      <c r="F332">
        <v>1242</v>
      </c>
      <c r="G332">
        <v>109296</v>
      </c>
      <c r="H332">
        <v>21315</v>
      </c>
    </row>
    <row r="333" spans="1:8" x14ac:dyDescent="0.25">
      <c r="A333">
        <v>2023</v>
      </c>
      <c r="B333" t="s">
        <v>19</v>
      </c>
      <c r="C333" t="s">
        <v>20</v>
      </c>
      <c r="D333" t="s">
        <v>27</v>
      </c>
      <c r="E333">
        <v>280</v>
      </c>
      <c r="F333">
        <v>1121</v>
      </c>
      <c r="G333">
        <v>313880</v>
      </c>
      <c r="H333">
        <v>70698</v>
      </c>
    </row>
    <row r="334" spans="1:8" x14ac:dyDescent="0.25">
      <c r="A334">
        <v>2023</v>
      </c>
      <c r="B334" t="s">
        <v>19</v>
      </c>
      <c r="C334" t="s">
        <v>20</v>
      </c>
      <c r="D334" t="s">
        <v>28</v>
      </c>
      <c r="E334">
        <v>83</v>
      </c>
      <c r="F334">
        <v>1119</v>
      </c>
      <c r="G334">
        <v>92877</v>
      </c>
      <c r="H334">
        <v>21834</v>
      </c>
    </row>
    <row r="335" spans="1:8" x14ac:dyDescent="0.25">
      <c r="A335">
        <v>2023</v>
      </c>
      <c r="B335" t="s">
        <v>19</v>
      </c>
      <c r="C335" t="s">
        <v>20</v>
      </c>
      <c r="D335" t="s">
        <v>29</v>
      </c>
      <c r="E335">
        <v>177</v>
      </c>
      <c r="F335">
        <v>1161</v>
      </c>
      <c r="G335">
        <v>205497</v>
      </c>
      <c r="H335">
        <v>21116</v>
      </c>
    </row>
    <row r="336" spans="1:8" x14ac:dyDescent="0.25">
      <c r="A336">
        <v>2023</v>
      </c>
      <c r="B336" t="s">
        <v>19</v>
      </c>
      <c r="C336" t="s">
        <v>20</v>
      </c>
      <c r="D336" t="s">
        <v>30</v>
      </c>
      <c r="E336">
        <v>225</v>
      </c>
      <c r="F336">
        <v>1238</v>
      </c>
      <c r="G336">
        <v>278550</v>
      </c>
      <c r="H336">
        <v>61910</v>
      </c>
    </row>
    <row r="337" spans="1:8" x14ac:dyDescent="0.25">
      <c r="A337">
        <v>2023</v>
      </c>
      <c r="B337" t="s">
        <v>19</v>
      </c>
      <c r="C337" t="s">
        <v>21</v>
      </c>
      <c r="D337" t="s">
        <v>26</v>
      </c>
      <c r="E337">
        <v>120</v>
      </c>
      <c r="F337">
        <v>774</v>
      </c>
      <c r="G337">
        <v>92880</v>
      </c>
      <c r="H337">
        <v>17008</v>
      </c>
    </row>
    <row r="338" spans="1:8" x14ac:dyDescent="0.25">
      <c r="A338">
        <v>2023</v>
      </c>
      <c r="B338" t="s">
        <v>19</v>
      </c>
      <c r="C338" t="s">
        <v>21</v>
      </c>
      <c r="D338" t="s">
        <v>27</v>
      </c>
      <c r="E338">
        <v>232</v>
      </c>
      <c r="F338">
        <v>819</v>
      </c>
      <c r="G338">
        <v>190008</v>
      </c>
      <c r="H338">
        <v>39527</v>
      </c>
    </row>
    <row r="339" spans="1:8" x14ac:dyDescent="0.25">
      <c r="A339">
        <v>2023</v>
      </c>
      <c r="B339" t="s">
        <v>19</v>
      </c>
      <c r="C339" t="s">
        <v>21</v>
      </c>
      <c r="D339" t="s">
        <v>28</v>
      </c>
      <c r="E339">
        <v>196</v>
      </c>
      <c r="F339">
        <v>722</v>
      </c>
      <c r="G339">
        <v>141512</v>
      </c>
      <c r="H339">
        <v>17056</v>
      </c>
    </row>
    <row r="340" spans="1:8" x14ac:dyDescent="0.25">
      <c r="A340">
        <v>2023</v>
      </c>
      <c r="B340" t="s">
        <v>19</v>
      </c>
      <c r="C340" t="s">
        <v>21</v>
      </c>
      <c r="D340" t="s">
        <v>29</v>
      </c>
      <c r="E340">
        <v>392</v>
      </c>
      <c r="F340">
        <v>773</v>
      </c>
      <c r="G340">
        <v>303016</v>
      </c>
      <c r="H340">
        <v>63581</v>
      </c>
    </row>
    <row r="341" spans="1:8" x14ac:dyDescent="0.25">
      <c r="A341">
        <v>2023</v>
      </c>
      <c r="B341" t="s">
        <v>19</v>
      </c>
      <c r="C341" t="s">
        <v>21</v>
      </c>
      <c r="D341" t="s">
        <v>30</v>
      </c>
      <c r="E341">
        <v>177</v>
      </c>
      <c r="F341">
        <v>840</v>
      </c>
      <c r="G341">
        <v>148680</v>
      </c>
      <c r="H341">
        <v>29699</v>
      </c>
    </row>
    <row r="342" spans="1:8" x14ac:dyDescent="0.25">
      <c r="A342">
        <v>2023</v>
      </c>
      <c r="B342" t="s">
        <v>19</v>
      </c>
      <c r="C342" t="s">
        <v>22</v>
      </c>
      <c r="D342" t="s">
        <v>26</v>
      </c>
      <c r="E342">
        <v>252</v>
      </c>
      <c r="F342">
        <v>133</v>
      </c>
      <c r="G342">
        <v>33516</v>
      </c>
      <c r="H342">
        <v>5384</v>
      </c>
    </row>
    <row r="343" spans="1:8" x14ac:dyDescent="0.25">
      <c r="A343">
        <v>2023</v>
      </c>
      <c r="B343" t="s">
        <v>19</v>
      </c>
      <c r="C343" t="s">
        <v>22</v>
      </c>
      <c r="D343" t="s">
        <v>27</v>
      </c>
      <c r="E343">
        <v>269</v>
      </c>
      <c r="F343">
        <v>123</v>
      </c>
      <c r="G343">
        <v>33087</v>
      </c>
      <c r="H343">
        <v>3541</v>
      </c>
    </row>
    <row r="344" spans="1:8" x14ac:dyDescent="0.25">
      <c r="A344">
        <v>2023</v>
      </c>
      <c r="B344" t="s">
        <v>19</v>
      </c>
      <c r="C344" t="s">
        <v>22</v>
      </c>
      <c r="D344" t="s">
        <v>28</v>
      </c>
      <c r="E344">
        <v>389</v>
      </c>
      <c r="F344">
        <v>130</v>
      </c>
      <c r="G344">
        <v>50570</v>
      </c>
      <c r="H344">
        <v>5685</v>
      </c>
    </row>
    <row r="345" spans="1:8" x14ac:dyDescent="0.25">
      <c r="A345">
        <v>2023</v>
      </c>
      <c r="B345" t="s">
        <v>19</v>
      </c>
      <c r="C345" t="s">
        <v>22</v>
      </c>
      <c r="D345" t="s">
        <v>29</v>
      </c>
      <c r="E345">
        <v>371</v>
      </c>
      <c r="F345">
        <v>131</v>
      </c>
      <c r="G345">
        <v>48601</v>
      </c>
      <c r="H345">
        <v>5357</v>
      </c>
    </row>
    <row r="346" spans="1:8" x14ac:dyDescent="0.25">
      <c r="A346">
        <v>2023</v>
      </c>
      <c r="B346" t="s">
        <v>19</v>
      </c>
      <c r="C346" t="s">
        <v>22</v>
      </c>
      <c r="D346" t="s">
        <v>30</v>
      </c>
      <c r="E346">
        <v>346</v>
      </c>
      <c r="F346">
        <v>116</v>
      </c>
      <c r="G346">
        <v>40136</v>
      </c>
      <c r="H346">
        <v>6154</v>
      </c>
    </row>
    <row r="347" spans="1:8" x14ac:dyDescent="0.25">
      <c r="A347">
        <v>2023</v>
      </c>
      <c r="B347" t="s">
        <v>19</v>
      </c>
      <c r="C347" t="s">
        <v>23</v>
      </c>
      <c r="D347" t="s">
        <v>26</v>
      </c>
      <c r="E347">
        <v>192</v>
      </c>
      <c r="F347">
        <v>648</v>
      </c>
      <c r="G347">
        <v>124416</v>
      </c>
      <c r="H347">
        <v>23833</v>
      </c>
    </row>
    <row r="348" spans="1:8" x14ac:dyDescent="0.25">
      <c r="A348">
        <v>2023</v>
      </c>
      <c r="B348" t="s">
        <v>19</v>
      </c>
      <c r="C348" t="s">
        <v>23</v>
      </c>
      <c r="D348" t="s">
        <v>27</v>
      </c>
      <c r="E348">
        <v>389</v>
      </c>
      <c r="F348">
        <v>611</v>
      </c>
      <c r="G348">
        <v>237679</v>
      </c>
      <c r="H348">
        <v>47429</v>
      </c>
    </row>
    <row r="349" spans="1:8" x14ac:dyDescent="0.25">
      <c r="A349">
        <v>2023</v>
      </c>
      <c r="B349" t="s">
        <v>19</v>
      </c>
      <c r="C349" t="s">
        <v>23</v>
      </c>
      <c r="D349" t="s">
        <v>28</v>
      </c>
      <c r="E349">
        <v>325</v>
      </c>
      <c r="F349">
        <v>560</v>
      </c>
      <c r="G349">
        <v>182000</v>
      </c>
      <c r="H349">
        <v>31406</v>
      </c>
    </row>
    <row r="350" spans="1:8" x14ac:dyDescent="0.25">
      <c r="A350">
        <v>2023</v>
      </c>
      <c r="B350" t="s">
        <v>19</v>
      </c>
      <c r="C350" t="s">
        <v>23</v>
      </c>
      <c r="D350" t="s">
        <v>29</v>
      </c>
      <c r="E350">
        <v>329</v>
      </c>
      <c r="F350">
        <v>544</v>
      </c>
      <c r="G350">
        <v>178976</v>
      </c>
      <c r="H350">
        <v>24938</v>
      </c>
    </row>
    <row r="351" spans="1:8" x14ac:dyDescent="0.25">
      <c r="A351">
        <v>2023</v>
      </c>
      <c r="B351" t="s">
        <v>19</v>
      </c>
      <c r="C351" t="s">
        <v>23</v>
      </c>
      <c r="D351" t="s">
        <v>30</v>
      </c>
      <c r="E351">
        <v>306</v>
      </c>
      <c r="F351">
        <v>666</v>
      </c>
      <c r="G351">
        <v>203796</v>
      </c>
      <c r="H351">
        <v>46253</v>
      </c>
    </row>
    <row r="352" spans="1:8" x14ac:dyDescent="0.25">
      <c r="A352">
        <v>2023</v>
      </c>
      <c r="B352" t="s">
        <v>19</v>
      </c>
      <c r="C352" t="s">
        <v>24</v>
      </c>
      <c r="D352" t="s">
        <v>26</v>
      </c>
      <c r="E352">
        <v>280</v>
      </c>
      <c r="F352">
        <v>273</v>
      </c>
      <c r="G352">
        <v>76440</v>
      </c>
      <c r="H352">
        <v>8866</v>
      </c>
    </row>
    <row r="353" spans="1:8" x14ac:dyDescent="0.25">
      <c r="A353">
        <v>2023</v>
      </c>
      <c r="B353" t="s">
        <v>19</v>
      </c>
      <c r="C353" t="s">
        <v>24</v>
      </c>
      <c r="D353" t="s">
        <v>27</v>
      </c>
      <c r="E353">
        <v>280</v>
      </c>
      <c r="F353">
        <v>246</v>
      </c>
      <c r="G353">
        <v>68880</v>
      </c>
      <c r="H353">
        <v>11152</v>
      </c>
    </row>
    <row r="354" spans="1:8" x14ac:dyDescent="0.25">
      <c r="A354">
        <v>2023</v>
      </c>
      <c r="B354" t="s">
        <v>19</v>
      </c>
      <c r="C354" t="s">
        <v>24</v>
      </c>
      <c r="D354" t="s">
        <v>28</v>
      </c>
      <c r="E354">
        <v>140</v>
      </c>
      <c r="F354">
        <v>268</v>
      </c>
      <c r="G354">
        <v>37520</v>
      </c>
      <c r="H354">
        <v>6199</v>
      </c>
    </row>
    <row r="355" spans="1:8" x14ac:dyDescent="0.25">
      <c r="A355">
        <v>2023</v>
      </c>
      <c r="B355" t="s">
        <v>19</v>
      </c>
      <c r="C355" t="s">
        <v>24</v>
      </c>
      <c r="D355" t="s">
        <v>29</v>
      </c>
      <c r="E355">
        <v>118</v>
      </c>
      <c r="F355">
        <v>229</v>
      </c>
      <c r="G355">
        <v>27022</v>
      </c>
      <c r="H355">
        <v>3017</v>
      </c>
    </row>
    <row r="356" spans="1:8" x14ac:dyDescent="0.25">
      <c r="A356">
        <v>2023</v>
      </c>
      <c r="B356" t="s">
        <v>19</v>
      </c>
      <c r="C356" t="s">
        <v>24</v>
      </c>
      <c r="D356" t="s">
        <v>30</v>
      </c>
      <c r="E356">
        <v>187</v>
      </c>
      <c r="F356">
        <v>268</v>
      </c>
      <c r="G356">
        <v>50116</v>
      </c>
      <c r="H356">
        <v>7057</v>
      </c>
    </row>
    <row r="357" spans="1:8" x14ac:dyDescent="0.25">
      <c r="A357">
        <v>2023</v>
      </c>
      <c r="B357" t="s">
        <v>19</v>
      </c>
      <c r="C357" t="s">
        <v>25</v>
      </c>
      <c r="D357" t="s">
        <v>26</v>
      </c>
      <c r="E357">
        <v>91</v>
      </c>
      <c r="F357">
        <v>346</v>
      </c>
      <c r="G357">
        <v>31486</v>
      </c>
      <c r="H357">
        <v>3581</v>
      </c>
    </row>
    <row r="358" spans="1:8" x14ac:dyDescent="0.25">
      <c r="A358">
        <v>2023</v>
      </c>
      <c r="B358" t="s">
        <v>19</v>
      </c>
      <c r="C358" t="s">
        <v>25</v>
      </c>
      <c r="D358" t="s">
        <v>27</v>
      </c>
      <c r="E358">
        <v>384</v>
      </c>
      <c r="F358">
        <v>326</v>
      </c>
      <c r="G358">
        <v>125184</v>
      </c>
      <c r="H358">
        <v>30361</v>
      </c>
    </row>
    <row r="359" spans="1:8" x14ac:dyDescent="0.25">
      <c r="A359">
        <v>2023</v>
      </c>
      <c r="B359" t="s">
        <v>19</v>
      </c>
      <c r="C359" t="s">
        <v>25</v>
      </c>
      <c r="D359" t="s">
        <v>28</v>
      </c>
      <c r="E359">
        <v>390</v>
      </c>
      <c r="F359">
        <v>360</v>
      </c>
      <c r="G359">
        <v>140400</v>
      </c>
      <c r="H359">
        <v>15866</v>
      </c>
    </row>
    <row r="360" spans="1:8" x14ac:dyDescent="0.25">
      <c r="A360">
        <v>2023</v>
      </c>
      <c r="B360" t="s">
        <v>19</v>
      </c>
      <c r="C360" t="s">
        <v>25</v>
      </c>
      <c r="D360" t="s">
        <v>29</v>
      </c>
      <c r="E360">
        <v>159</v>
      </c>
      <c r="F360">
        <v>391</v>
      </c>
      <c r="G360">
        <v>62169</v>
      </c>
      <c r="H360">
        <v>13045</v>
      </c>
    </row>
    <row r="361" spans="1:8" x14ac:dyDescent="0.25">
      <c r="A361">
        <v>2023</v>
      </c>
      <c r="B361" t="s">
        <v>19</v>
      </c>
      <c r="C361" t="s">
        <v>25</v>
      </c>
      <c r="D361" t="s">
        <v>30</v>
      </c>
      <c r="E361">
        <v>228</v>
      </c>
      <c r="F361">
        <v>381</v>
      </c>
      <c r="G361">
        <v>86868</v>
      </c>
      <c r="H361">
        <v>18122</v>
      </c>
    </row>
    <row r="362" spans="1:8" x14ac:dyDescent="0.25">
      <c r="A362">
        <v>2024</v>
      </c>
      <c r="B362" t="s">
        <v>8</v>
      </c>
      <c r="C362" t="s">
        <v>20</v>
      </c>
      <c r="D362" t="s">
        <v>26</v>
      </c>
      <c r="E362">
        <v>323</v>
      </c>
      <c r="F362">
        <v>1154</v>
      </c>
      <c r="G362">
        <v>372742</v>
      </c>
      <c r="H362">
        <v>64638</v>
      </c>
    </row>
    <row r="363" spans="1:8" x14ac:dyDescent="0.25">
      <c r="A363">
        <v>2024</v>
      </c>
      <c r="B363" t="s">
        <v>8</v>
      </c>
      <c r="C363" t="s">
        <v>20</v>
      </c>
      <c r="D363" t="s">
        <v>27</v>
      </c>
      <c r="E363">
        <v>257</v>
      </c>
      <c r="F363">
        <v>1287</v>
      </c>
      <c r="G363">
        <v>330759</v>
      </c>
      <c r="H363">
        <v>35635</v>
      </c>
    </row>
    <row r="364" spans="1:8" x14ac:dyDescent="0.25">
      <c r="A364">
        <v>2024</v>
      </c>
      <c r="B364" t="s">
        <v>8</v>
      </c>
      <c r="C364" t="s">
        <v>20</v>
      </c>
      <c r="D364" t="s">
        <v>28</v>
      </c>
      <c r="E364">
        <v>121</v>
      </c>
      <c r="F364">
        <v>1091</v>
      </c>
      <c r="G364">
        <v>132011</v>
      </c>
      <c r="H364">
        <v>27172</v>
      </c>
    </row>
    <row r="365" spans="1:8" x14ac:dyDescent="0.25">
      <c r="A365">
        <v>2024</v>
      </c>
      <c r="B365" t="s">
        <v>8</v>
      </c>
      <c r="C365" t="s">
        <v>20</v>
      </c>
      <c r="D365" t="s">
        <v>29</v>
      </c>
      <c r="E365">
        <v>322</v>
      </c>
      <c r="F365">
        <v>1379</v>
      </c>
      <c r="G365">
        <v>444038</v>
      </c>
      <c r="H365">
        <v>81423</v>
      </c>
    </row>
    <row r="366" spans="1:8" x14ac:dyDescent="0.25">
      <c r="A366">
        <v>2024</v>
      </c>
      <c r="B366" t="s">
        <v>8</v>
      </c>
      <c r="C366" t="s">
        <v>20</v>
      </c>
      <c r="D366" t="s">
        <v>30</v>
      </c>
      <c r="E366">
        <v>191</v>
      </c>
      <c r="F366">
        <v>1354</v>
      </c>
      <c r="G366">
        <v>258614</v>
      </c>
      <c r="H366">
        <v>27178</v>
      </c>
    </row>
    <row r="367" spans="1:8" x14ac:dyDescent="0.25">
      <c r="A367">
        <v>2024</v>
      </c>
      <c r="B367" t="s">
        <v>8</v>
      </c>
      <c r="C367" t="s">
        <v>21</v>
      </c>
      <c r="D367" t="s">
        <v>26</v>
      </c>
      <c r="E367">
        <v>227</v>
      </c>
      <c r="F367">
        <v>866</v>
      </c>
      <c r="G367">
        <v>196582</v>
      </c>
      <c r="H367">
        <v>25337</v>
      </c>
    </row>
    <row r="368" spans="1:8" x14ac:dyDescent="0.25">
      <c r="A368">
        <v>2024</v>
      </c>
      <c r="B368" t="s">
        <v>8</v>
      </c>
      <c r="C368" t="s">
        <v>21</v>
      </c>
      <c r="D368" t="s">
        <v>27</v>
      </c>
      <c r="E368">
        <v>457</v>
      </c>
      <c r="F368">
        <v>908</v>
      </c>
      <c r="G368">
        <v>414956</v>
      </c>
      <c r="H368">
        <v>71012</v>
      </c>
    </row>
    <row r="369" spans="1:8" x14ac:dyDescent="0.25">
      <c r="A369">
        <v>2024</v>
      </c>
      <c r="B369" t="s">
        <v>8</v>
      </c>
      <c r="C369" t="s">
        <v>21</v>
      </c>
      <c r="D369" t="s">
        <v>28</v>
      </c>
      <c r="E369">
        <v>211</v>
      </c>
      <c r="F369">
        <v>727</v>
      </c>
      <c r="G369">
        <v>153397</v>
      </c>
      <c r="H369">
        <v>29059</v>
      </c>
    </row>
    <row r="370" spans="1:8" x14ac:dyDescent="0.25">
      <c r="A370">
        <v>2024</v>
      </c>
      <c r="B370" t="s">
        <v>8</v>
      </c>
      <c r="C370" t="s">
        <v>21</v>
      </c>
      <c r="D370" t="s">
        <v>29</v>
      </c>
      <c r="E370">
        <v>216</v>
      </c>
      <c r="F370">
        <v>744</v>
      </c>
      <c r="G370">
        <v>160704</v>
      </c>
      <c r="H370">
        <v>17925</v>
      </c>
    </row>
    <row r="371" spans="1:8" x14ac:dyDescent="0.25">
      <c r="A371">
        <v>2024</v>
      </c>
      <c r="B371" t="s">
        <v>8</v>
      </c>
      <c r="C371" t="s">
        <v>21</v>
      </c>
      <c r="D371" t="s">
        <v>30</v>
      </c>
      <c r="E371">
        <v>431</v>
      </c>
      <c r="F371">
        <v>826</v>
      </c>
      <c r="G371">
        <v>356006</v>
      </c>
      <c r="H371">
        <v>59152</v>
      </c>
    </row>
    <row r="372" spans="1:8" x14ac:dyDescent="0.25">
      <c r="A372">
        <v>2024</v>
      </c>
      <c r="B372" t="s">
        <v>8</v>
      </c>
      <c r="C372" t="s">
        <v>22</v>
      </c>
      <c r="D372" t="s">
        <v>26</v>
      </c>
      <c r="E372">
        <v>136</v>
      </c>
      <c r="F372">
        <v>117</v>
      </c>
      <c r="G372">
        <v>15912</v>
      </c>
      <c r="H372">
        <v>2878</v>
      </c>
    </row>
    <row r="373" spans="1:8" x14ac:dyDescent="0.25">
      <c r="A373">
        <v>2024</v>
      </c>
      <c r="B373" t="s">
        <v>8</v>
      </c>
      <c r="C373" t="s">
        <v>22</v>
      </c>
      <c r="D373" t="s">
        <v>27</v>
      </c>
      <c r="E373">
        <v>335</v>
      </c>
      <c r="F373">
        <v>123</v>
      </c>
      <c r="G373">
        <v>41205</v>
      </c>
      <c r="H373">
        <v>6758</v>
      </c>
    </row>
    <row r="374" spans="1:8" x14ac:dyDescent="0.25">
      <c r="A374">
        <v>2024</v>
      </c>
      <c r="B374" t="s">
        <v>8</v>
      </c>
      <c r="C374" t="s">
        <v>22</v>
      </c>
      <c r="D374" t="s">
        <v>28</v>
      </c>
      <c r="E374">
        <v>216</v>
      </c>
      <c r="F374">
        <v>114</v>
      </c>
      <c r="G374">
        <v>24624</v>
      </c>
      <c r="H374">
        <v>2552</v>
      </c>
    </row>
    <row r="375" spans="1:8" x14ac:dyDescent="0.25">
      <c r="A375">
        <v>2024</v>
      </c>
      <c r="B375" t="s">
        <v>8</v>
      </c>
      <c r="C375" t="s">
        <v>22</v>
      </c>
      <c r="D375" t="s">
        <v>29</v>
      </c>
      <c r="E375">
        <v>288</v>
      </c>
      <c r="F375">
        <v>137</v>
      </c>
      <c r="G375">
        <v>39456</v>
      </c>
      <c r="H375">
        <v>3947</v>
      </c>
    </row>
    <row r="376" spans="1:8" x14ac:dyDescent="0.25">
      <c r="A376">
        <v>2024</v>
      </c>
      <c r="B376" t="s">
        <v>8</v>
      </c>
      <c r="C376" t="s">
        <v>22</v>
      </c>
      <c r="D376" t="s">
        <v>30</v>
      </c>
      <c r="E376">
        <v>403</v>
      </c>
      <c r="F376">
        <v>123</v>
      </c>
      <c r="G376">
        <v>49569</v>
      </c>
      <c r="H376">
        <v>11939</v>
      </c>
    </row>
    <row r="377" spans="1:8" x14ac:dyDescent="0.25">
      <c r="A377">
        <v>2024</v>
      </c>
      <c r="B377" t="s">
        <v>8</v>
      </c>
      <c r="C377" t="s">
        <v>23</v>
      </c>
      <c r="D377" t="s">
        <v>26</v>
      </c>
      <c r="E377">
        <v>355</v>
      </c>
      <c r="F377">
        <v>550</v>
      </c>
      <c r="G377">
        <v>195250</v>
      </c>
      <c r="H377">
        <v>19802</v>
      </c>
    </row>
    <row r="378" spans="1:8" x14ac:dyDescent="0.25">
      <c r="A378">
        <v>2024</v>
      </c>
      <c r="B378" t="s">
        <v>8</v>
      </c>
      <c r="C378" t="s">
        <v>23</v>
      </c>
      <c r="D378" t="s">
        <v>27</v>
      </c>
      <c r="E378">
        <v>125</v>
      </c>
      <c r="F378">
        <v>655</v>
      </c>
      <c r="G378">
        <v>81875</v>
      </c>
      <c r="H378">
        <v>13123</v>
      </c>
    </row>
    <row r="379" spans="1:8" x14ac:dyDescent="0.25">
      <c r="A379">
        <v>2024</v>
      </c>
      <c r="B379" t="s">
        <v>8</v>
      </c>
      <c r="C379" t="s">
        <v>23</v>
      </c>
      <c r="D379" t="s">
        <v>28</v>
      </c>
      <c r="E379">
        <v>375</v>
      </c>
      <c r="F379">
        <v>611</v>
      </c>
      <c r="G379">
        <v>229125</v>
      </c>
      <c r="H379">
        <v>42872</v>
      </c>
    </row>
    <row r="380" spans="1:8" x14ac:dyDescent="0.25">
      <c r="A380">
        <v>2024</v>
      </c>
      <c r="B380" t="s">
        <v>8</v>
      </c>
      <c r="C380" t="s">
        <v>23</v>
      </c>
      <c r="D380" t="s">
        <v>29</v>
      </c>
      <c r="E380">
        <v>365</v>
      </c>
      <c r="F380">
        <v>687</v>
      </c>
      <c r="G380">
        <v>250755</v>
      </c>
      <c r="H380">
        <v>53972</v>
      </c>
    </row>
    <row r="381" spans="1:8" x14ac:dyDescent="0.25">
      <c r="A381">
        <v>2024</v>
      </c>
      <c r="B381" t="s">
        <v>8</v>
      </c>
      <c r="C381" t="s">
        <v>23</v>
      </c>
      <c r="D381" t="s">
        <v>30</v>
      </c>
      <c r="E381">
        <v>167</v>
      </c>
      <c r="F381">
        <v>575</v>
      </c>
      <c r="G381">
        <v>96025</v>
      </c>
      <c r="H381">
        <v>11193</v>
      </c>
    </row>
    <row r="382" spans="1:8" x14ac:dyDescent="0.25">
      <c r="A382">
        <v>2024</v>
      </c>
      <c r="B382" t="s">
        <v>8</v>
      </c>
      <c r="C382" t="s">
        <v>24</v>
      </c>
      <c r="D382" t="s">
        <v>26</v>
      </c>
      <c r="E382">
        <v>256</v>
      </c>
      <c r="F382">
        <v>243</v>
      </c>
      <c r="G382">
        <v>62208</v>
      </c>
      <c r="H382">
        <v>14178</v>
      </c>
    </row>
    <row r="383" spans="1:8" x14ac:dyDescent="0.25">
      <c r="A383">
        <v>2024</v>
      </c>
      <c r="B383" t="s">
        <v>8</v>
      </c>
      <c r="C383" t="s">
        <v>24</v>
      </c>
      <c r="D383" t="s">
        <v>27</v>
      </c>
      <c r="E383">
        <v>261</v>
      </c>
      <c r="F383">
        <v>239</v>
      </c>
      <c r="G383">
        <v>62379</v>
      </c>
      <c r="H383">
        <v>6631</v>
      </c>
    </row>
    <row r="384" spans="1:8" x14ac:dyDescent="0.25">
      <c r="A384">
        <v>2024</v>
      </c>
      <c r="B384" t="s">
        <v>8</v>
      </c>
      <c r="C384" t="s">
        <v>24</v>
      </c>
      <c r="D384" t="s">
        <v>28</v>
      </c>
      <c r="E384">
        <v>315</v>
      </c>
      <c r="F384">
        <v>281</v>
      </c>
      <c r="G384">
        <v>88515</v>
      </c>
      <c r="H384">
        <v>9450</v>
      </c>
    </row>
    <row r="385" spans="1:8" x14ac:dyDescent="0.25">
      <c r="A385">
        <v>2024</v>
      </c>
      <c r="B385" t="s">
        <v>8</v>
      </c>
      <c r="C385" t="s">
        <v>24</v>
      </c>
      <c r="D385" t="s">
        <v>29</v>
      </c>
      <c r="E385">
        <v>445</v>
      </c>
      <c r="F385">
        <v>249</v>
      </c>
      <c r="G385">
        <v>110805</v>
      </c>
      <c r="H385">
        <v>13148</v>
      </c>
    </row>
    <row r="386" spans="1:8" x14ac:dyDescent="0.25">
      <c r="A386">
        <v>2024</v>
      </c>
      <c r="B386" t="s">
        <v>8</v>
      </c>
      <c r="C386" t="s">
        <v>24</v>
      </c>
      <c r="D386" t="s">
        <v>30</v>
      </c>
      <c r="E386">
        <v>308</v>
      </c>
      <c r="F386">
        <v>284</v>
      </c>
      <c r="G386">
        <v>87472</v>
      </c>
      <c r="H386">
        <v>19064</v>
      </c>
    </row>
    <row r="387" spans="1:8" x14ac:dyDescent="0.25">
      <c r="A387">
        <v>2024</v>
      </c>
      <c r="B387" t="s">
        <v>8</v>
      </c>
      <c r="C387" t="s">
        <v>25</v>
      </c>
      <c r="D387" t="s">
        <v>26</v>
      </c>
      <c r="E387">
        <v>321</v>
      </c>
      <c r="F387">
        <v>400</v>
      </c>
      <c r="G387">
        <v>128400</v>
      </c>
      <c r="H387">
        <v>29869</v>
      </c>
    </row>
    <row r="388" spans="1:8" x14ac:dyDescent="0.25">
      <c r="A388">
        <v>2024</v>
      </c>
      <c r="B388" t="s">
        <v>8</v>
      </c>
      <c r="C388" t="s">
        <v>25</v>
      </c>
      <c r="D388" t="s">
        <v>27</v>
      </c>
      <c r="E388">
        <v>104</v>
      </c>
      <c r="F388">
        <v>394</v>
      </c>
      <c r="G388">
        <v>40976</v>
      </c>
      <c r="H388">
        <v>10177</v>
      </c>
    </row>
    <row r="389" spans="1:8" x14ac:dyDescent="0.25">
      <c r="A389">
        <v>2024</v>
      </c>
      <c r="B389" t="s">
        <v>8</v>
      </c>
      <c r="C389" t="s">
        <v>25</v>
      </c>
      <c r="D389" t="s">
        <v>28</v>
      </c>
      <c r="E389">
        <v>322</v>
      </c>
      <c r="F389">
        <v>401</v>
      </c>
      <c r="G389">
        <v>129122</v>
      </c>
      <c r="H389">
        <v>17399</v>
      </c>
    </row>
    <row r="390" spans="1:8" x14ac:dyDescent="0.25">
      <c r="A390">
        <v>2024</v>
      </c>
      <c r="B390" t="s">
        <v>8</v>
      </c>
      <c r="C390" t="s">
        <v>25</v>
      </c>
      <c r="D390" t="s">
        <v>29</v>
      </c>
      <c r="E390">
        <v>263</v>
      </c>
      <c r="F390">
        <v>388</v>
      </c>
      <c r="G390">
        <v>102044</v>
      </c>
      <c r="H390">
        <v>13733</v>
      </c>
    </row>
    <row r="391" spans="1:8" x14ac:dyDescent="0.25">
      <c r="A391">
        <v>2024</v>
      </c>
      <c r="B391" t="s">
        <v>8</v>
      </c>
      <c r="C391" t="s">
        <v>25</v>
      </c>
      <c r="D391" t="s">
        <v>30</v>
      </c>
      <c r="E391">
        <v>373</v>
      </c>
      <c r="F391">
        <v>359</v>
      </c>
      <c r="G391">
        <v>133907</v>
      </c>
      <c r="H391">
        <v>18023</v>
      </c>
    </row>
    <row r="392" spans="1:8" x14ac:dyDescent="0.25">
      <c r="A392">
        <v>2024</v>
      </c>
      <c r="B392" t="s">
        <v>9</v>
      </c>
      <c r="C392" t="s">
        <v>20</v>
      </c>
      <c r="D392" t="s">
        <v>26</v>
      </c>
      <c r="E392">
        <v>360</v>
      </c>
      <c r="F392">
        <v>1195</v>
      </c>
      <c r="G392">
        <v>430200</v>
      </c>
      <c r="H392">
        <v>45390</v>
      </c>
    </row>
    <row r="393" spans="1:8" x14ac:dyDescent="0.25">
      <c r="A393">
        <v>2024</v>
      </c>
      <c r="B393" t="s">
        <v>9</v>
      </c>
      <c r="C393" t="s">
        <v>20</v>
      </c>
      <c r="D393" t="s">
        <v>27</v>
      </c>
      <c r="E393">
        <v>399</v>
      </c>
      <c r="F393">
        <v>1327</v>
      </c>
      <c r="G393">
        <v>529473</v>
      </c>
      <c r="H393">
        <v>116545</v>
      </c>
    </row>
    <row r="394" spans="1:8" x14ac:dyDescent="0.25">
      <c r="A394">
        <v>2024</v>
      </c>
      <c r="B394" t="s">
        <v>9</v>
      </c>
      <c r="C394" t="s">
        <v>20</v>
      </c>
      <c r="D394" t="s">
        <v>28</v>
      </c>
      <c r="E394">
        <v>157</v>
      </c>
      <c r="F394">
        <v>1370</v>
      </c>
      <c r="G394">
        <v>215090</v>
      </c>
      <c r="H394">
        <v>50023</v>
      </c>
    </row>
    <row r="395" spans="1:8" x14ac:dyDescent="0.25">
      <c r="A395">
        <v>2024</v>
      </c>
      <c r="B395" t="s">
        <v>9</v>
      </c>
      <c r="C395" t="s">
        <v>20</v>
      </c>
      <c r="D395" t="s">
        <v>29</v>
      </c>
      <c r="E395">
        <v>210</v>
      </c>
      <c r="F395">
        <v>1259</v>
      </c>
      <c r="G395">
        <v>264390</v>
      </c>
      <c r="H395">
        <v>47260</v>
      </c>
    </row>
    <row r="396" spans="1:8" x14ac:dyDescent="0.25">
      <c r="A396">
        <v>2024</v>
      </c>
      <c r="B396" t="s">
        <v>9</v>
      </c>
      <c r="C396" t="s">
        <v>20</v>
      </c>
      <c r="D396" t="s">
        <v>30</v>
      </c>
      <c r="E396">
        <v>303</v>
      </c>
      <c r="F396">
        <v>1227</v>
      </c>
      <c r="G396">
        <v>371781</v>
      </c>
      <c r="H396">
        <v>92740</v>
      </c>
    </row>
    <row r="397" spans="1:8" x14ac:dyDescent="0.25">
      <c r="A397">
        <v>2024</v>
      </c>
      <c r="B397" t="s">
        <v>9</v>
      </c>
      <c r="C397" t="s">
        <v>21</v>
      </c>
      <c r="D397" t="s">
        <v>26</v>
      </c>
      <c r="E397">
        <v>96</v>
      </c>
      <c r="F397">
        <v>883</v>
      </c>
      <c r="G397">
        <v>84768</v>
      </c>
      <c r="H397">
        <v>11330</v>
      </c>
    </row>
    <row r="398" spans="1:8" x14ac:dyDescent="0.25">
      <c r="A398">
        <v>2024</v>
      </c>
      <c r="B398" t="s">
        <v>9</v>
      </c>
      <c r="C398" t="s">
        <v>21</v>
      </c>
      <c r="D398" t="s">
        <v>27</v>
      </c>
      <c r="E398">
        <v>234</v>
      </c>
      <c r="F398">
        <v>869</v>
      </c>
      <c r="G398">
        <v>203346</v>
      </c>
      <c r="H398">
        <v>21398</v>
      </c>
    </row>
    <row r="399" spans="1:8" x14ac:dyDescent="0.25">
      <c r="A399">
        <v>2024</v>
      </c>
      <c r="B399" t="s">
        <v>9</v>
      </c>
      <c r="C399" t="s">
        <v>21</v>
      </c>
      <c r="D399" t="s">
        <v>28</v>
      </c>
      <c r="E399">
        <v>173</v>
      </c>
      <c r="F399">
        <v>836</v>
      </c>
      <c r="G399">
        <v>144628</v>
      </c>
      <c r="H399">
        <v>16447</v>
      </c>
    </row>
    <row r="400" spans="1:8" x14ac:dyDescent="0.25">
      <c r="A400">
        <v>2024</v>
      </c>
      <c r="B400" t="s">
        <v>9</v>
      </c>
      <c r="C400" t="s">
        <v>21</v>
      </c>
      <c r="D400" t="s">
        <v>29</v>
      </c>
      <c r="E400">
        <v>217</v>
      </c>
      <c r="F400">
        <v>798</v>
      </c>
      <c r="G400">
        <v>173166</v>
      </c>
      <c r="H400">
        <v>24406</v>
      </c>
    </row>
    <row r="401" spans="1:8" x14ac:dyDescent="0.25">
      <c r="A401">
        <v>2024</v>
      </c>
      <c r="B401" t="s">
        <v>9</v>
      </c>
      <c r="C401" t="s">
        <v>21</v>
      </c>
      <c r="D401" t="s">
        <v>30</v>
      </c>
      <c r="E401">
        <v>127</v>
      </c>
      <c r="F401">
        <v>897</v>
      </c>
      <c r="G401">
        <v>113919</v>
      </c>
      <c r="H401">
        <v>27721</v>
      </c>
    </row>
    <row r="402" spans="1:8" x14ac:dyDescent="0.25">
      <c r="A402">
        <v>2024</v>
      </c>
      <c r="B402" t="s">
        <v>9</v>
      </c>
      <c r="C402" t="s">
        <v>22</v>
      </c>
      <c r="D402" t="s">
        <v>26</v>
      </c>
      <c r="E402">
        <v>294</v>
      </c>
      <c r="F402">
        <v>132</v>
      </c>
      <c r="G402">
        <v>38808</v>
      </c>
      <c r="H402">
        <v>7695</v>
      </c>
    </row>
    <row r="403" spans="1:8" x14ac:dyDescent="0.25">
      <c r="A403">
        <v>2024</v>
      </c>
      <c r="B403" t="s">
        <v>9</v>
      </c>
      <c r="C403" t="s">
        <v>22</v>
      </c>
      <c r="D403" t="s">
        <v>27</v>
      </c>
      <c r="E403">
        <v>401</v>
      </c>
      <c r="F403">
        <v>130</v>
      </c>
      <c r="G403">
        <v>52130</v>
      </c>
      <c r="H403">
        <v>7413</v>
      </c>
    </row>
    <row r="404" spans="1:8" x14ac:dyDescent="0.25">
      <c r="A404">
        <v>2024</v>
      </c>
      <c r="B404" t="s">
        <v>9</v>
      </c>
      <c r="C404" t="s">
        <v>22</v>
      </c>
      <c r="D404" t="s">
        <v>28</v>
      </c>
      <c r="E404">
        <v>239</v>
      </c>
      <c r="F404">
        <v>119</v>
      </c>
      <c r="G404">
        <v>28441</v>
      </c>
      <c r="H404">
        <v>3952</v>
      </c>
    </row>
    <row r="405" spans="1:8" x14ac:dyDescent="0.25">
      <c r="A405">
        <v>2024</v>
      </c>
      <c r="B405" t="s">
        <v>9</v>
      </c>
      <c r="C405" t="s">
        <v>22</v>
      </c>
      <c r="D405" t="s">
        <v>29</v>
      </c>
      <c r="E405">
        <v>301</v>
      </c>
      <c r="F405">
        <v>122</v>
      </c>
      <c r="G405">
        <v>36722</v>
      </c>
      <c r="H405">
        <v>4118</v>
      </c>
    </row>
    <row r="406" spans="1:8" x14ac:dyDescent="0.25">
      <c r="A406">
        <v>2024</v>
      </c>
      <c r="B406" t="s">
        <v>9</v>
      </c>
      <c r="C406" t="s">
        <v>22</v>
      </c>
      <c r="D406" t="s">
        <v>30</v>
      </c>
      <c r="E406">
        <v>466</v>
      </c>
      <c r="F406">
        <v>111</v>
      </c>
      <c r="G406">
        <v>51726</v>
      </c>
      <c r="H406">
        <v>12112</v>
      </c>
    </row>
    <row r="407" spans="1:8" x14ac:dyDescent="0.25">
      <c r="A407">
        <v>2024</v>
      </c>
      <c r="B407" t="s">
        <v>9</v>
      </c>
      <c r="C407" t="s">
        <v>23</v>
      </c>
      <c r="D407" t="s">
        <v>26</v>
      </c>
      <c r="E407">
        <v>188</v>
      </c>
      <c r="F407">
        <v>549</v>
      </c>
      <c r="G407">
        <v>103212</v>
      </c>
      <c r="H407">
        <v>23990</v>
      </c>
    </row>
    <row r="408" spans="1:8" x14ac:dyDescent="0.25">
      <c r="A408">
        <v>2024</v>
      </c>
      <c r="B408" t="s">
        <v>9</v>
      </c>
      <c r="C408" t="s">
        <v>23</v>
      </c>
      <c r="D408" t="s">
        <v>27</v>
      </c>
      <c r="E408">
        <v>468</v>
      </c>
      <c r="F408">
        <v>628</v>
      </c>
      <c r="G408">
        <v>293904</v>
      </c>
      <c r="H408">
        <v>65746</v>
      </c>
    </row>
    <row r="409" spans="1:8" x14ac:dyDescent="0.25">
      <c r="A409">
        <v>2024</v>
      </c>
      <c r="B409" t="s">
        <v>9</v>
      </c>
      <c r="C409" t="s">
        <v>23</v>
      </c>
      <c r="D409" t="s">
        <v>28</v>
      </c>
      <c r="E409">
        <v>159</v>
      </c>
      <c r="F409">
        <v>639</v>
      </c>
      <c r="G409">
        <v>101601</v>
      </c>
      <c r="H409">
        <v>18447</v>
      </c>
    </row>
    <row r="410" spans="1:8" x14ac:dyDescent="0.25">
      <c r="A410">
        <v>2024</v>
      </c>
      <c r="B410" t="s">
        <v>9</v>
      </c>
      <c r="C410" t="s">
        <v>23</v>
      </c>
      <c r="D410" t="s">
        <v>29</v>
      </c>
      <c r="E410">
        <v>373</v>
      </c>
      <c r="F410">
        <v>650</v>
      </c>
      <c r="G410">
        <v>242450</v>
      </c>
      <c r="H410">
        <v>43201</v>
      </c>
    </row>
    <row r="411" spans="1:8" x14ac:dyDescent="0.25">
      <c r="A411">
        <v>2024</v>
      </c>
      <c r="B411" t="s">
        <v>9</v>
      </c>
      <c r="C411" t="s">
        <v>23</v>
      </c>
      <c r="D411" t="s">
        <v>30</v>
      </c>
      <c r="E411">
        <v>291</v>
      </c>
      <c r="F411">
        <v>576</v>
      </c>
      <c r="G411">
        <v>167616</v>
      </c>
      <c r="H411">
        <v>20717</v>
      </c>
    </row>
    <row r="412" spans="1:8" x14ac:dyDescent="0.25">
      <c r="A412">
        <v>2024</v>
      </c>
      <c r="B412" t="s">
        <v>9</v>
      </c>
      <c r="C412" t="s">
        <v>24</v>
      </c>
      <c r="D412" t="s">
        <v>26</v>
      </c>
      <c r="E412">
        <v>452</v>
      </c>
      <c r="F412">
        <v>269</v>
      </c>
      <c r="G412">
        <v>121588</v>
      </c>
      <c r="H412">
        <v>27424</v>
      </c>
    </row>
    <row r="413" spans="1:8" x14ac:dyDescent="0.25">
      <c r="A413">
        <v>2024</v>
      </c>
      <c r="B413" t="s">
        <v>9</v>
      </c>
      <c r="C413" t="s">
        <v>24</v>
      </c>
      <c r="D413" t="s">
        <v>27</v>
      </c>
      <c r="E413">
        <v>307</v>
      </c>
      <c r="F413">
        <v>267</v>
      </c>
      <c r="G413">
        <v>81969</v>
      </c>
      <c r="H413">
        <v>15802</v>
      </c>
    </row>
    <row r="414" spans="1:8" x14ac:dyDescent="0.25">
      <c r="A414">
        <v>2024</v>
      </c>
      <c r="B414" t="s">
        <v>9</v>
      </c>
      <c r="C414" t="s">
        <v>24</v>
      </c>
      <c r="D414" t="s">
        <v>28</v>
      </c>
      <c r="E414">
        <v>315</v>
      </c>
      <c r="F414">
        <v>234</v>
      </c>
      <c r="G414">
        <v>73710</v>
      </c>
      <c r="H414">
        <v>17110</v>
      </c>
    </row>
    <row r="415" spans="1:8" x14ac:dyDescent="0.25">
      <c r="A415">
        <v>2024</v>
      </c>
      <c r="B415" t="s">
        <v>9</v>
      </c>
      <c r="C415" t="s">
        <v>24</v>
      </c>
      <c r="D415" t="s">
        <v>29</v>
      </c>
      <c r="E415">
        <v>464</v>
      </c>
      <c r="F415">
        <v>254</v>
      </c>
      <c r="G415">
        <v>117856</v>
      </c>
      <c r="H415">
        <v>27326</v>
      </c>
    </row>
    <row r="416" spans="1:8" x14ac:dyDescent="0.25">
      <c r="A416">
        <v>2024</v>
      </c>
      <c r="B416" t="s">
        <v>9</v>
      </c>
      <c r="C416" t="s">
        <v>24</v>
      </c>
      <c r="D416" t="s">
        <v>30</v>
      </c>
      <c r="E416">
        <v>282</v>
      </c>
      <c r="F416">
        <v>245</v>
      </c>
      <c r="G416">
        <v>69090</v>
      </c>
      <c r="H416">
        <v>14614</v>
      </c>
    </row>
    <row r="417" spans="1:8" x14ac:dyDescent="0.25">
      <c r="A417">
        <v>2024</v>
      </c>
      <c r="B417" t="s">
        <v>9</v>
      </c>
      <c r="C417" t="s">
        <v>25</v>
      </c>
      <c r="D417" t="s">
        <v>26</v>
      </c>
      <c r="E417">
        <v>190</v>
      </c>
      <c r="F417">
        <v>386</v>
      </c>
      <c r="G417">
        <v>73340</v>
      </c>
      <c r="H417">
        <v>16488</v>
      </c>
    </row>
    <row r="418" spans="1:8" x14ac:dyDescent="0.25">
      <c r="A418">
        <v>2024</v>
      </c>
      <c r="B418" t="s">
        <v>9</v>
      </c>
      <c r="C418" t="s">
        <v>25</v>
      </c>
      <c r="D418" t="s">
        <v>27</v>
      </c>
      <c r="E418">
        <v>107</v>
      </c>
      <c r="F418">
        <v>315</v>
      </c>
      <c r="G418">
        <v>33705</v>
      </c>
      <c r="H418">
        <v>4821</v>
      </c>
    </row>
    <row r="419" spans="1:8" x14ac:dyDescent="0.25">
      <c r="A419">
        <v>2024</v>
      </c>
      <c r="B419" t="s">
        <v>9</v>
      </c>
      <c r="C419" t="s">
        <v>25</v>
      </c>
      <c r="D419" t="s">
        <v>28</v>
      </c>
      <c r="E419">
        <v>147</v>
      </c>
      <c r="F419">
        <v>343</v>
      </c>
      <c r="G419">
        <v>50421</v>
      </c>
      <c r="H419">
        <v>9276</v>
      </c>
    </row>
    <row r="420" spans="1:8" x14ac:dyDescent="0.25">
      <c r="A420">
        <v>2024</v>
      </c>
      <c r="B420" t="s">
        <v>9</v>
      </c>
      <c r="C420" t="s">
        <v>25</v>
      </c>
      <c r="D420" t="s">
        <v>29</v>
      </c>
      <c r="E420">
        <v>356</v>
      </c>
      <c r="F420">
        <v>347</v>
      </c>
      <c r="G420">
        <v>123532</v>
      </c>
      <c r="H420">
        <v>12521</v>
      </c>
    </row>
    <row r="421" spans="1:8" x14ac:dyDescent="0.25">
      <c r="A421">
        <v>2024</v>
      </c>
      <c r="B421" t="s">
        <v>9</v>
      </c>
      <c r="C421" t="s">
        <v>25</v>
      </c>
      <c r="D421" t="s">
        <v>30</v>
      </c>
      <c r="E421">
        <v>285</v>
      </c>
      <c r="F421">
        <v>326</v>
      </c>
      <c r="G421">
        <v>92910</v>
      </c>
      <c r="H421">
        <v>13239</v>
      </c>
    </row>
    <row r="422" spans="1:8" x14ac:dyDescent="0.25">
      <c r="A422">
        <v>2024</v>
      </c>
      <c r="B422" t="s">
        <v>10</v>
      </c>
      <c r="C422" t="s">
        <v>20</v>
      </c>
      <c r="D422" t="s">
        <v>26</v>
      </c>
      <c r="E422">
        <v>181</v>
      </c>
      <c r="F422">
        <v>1209</v>
      </c>
      <c r="G422">
        <v>218829</v>
      </c>
      <c r="H422">
        <v>49459</v>
      </c>
    </row>
    <row r="423" spans="1:8" x14ac:dyDescent="0.25">
      <c r="A423">
        <v>2024</v>
      </c>
      <c r="B423" t="s">
        <v>10</v>
      </c>
      <c r="C423" t="s">
        <v>20</v>
      </c>
      <c r="D423" t="s">
        <v>27</v>
      </c>
      <c r="E423">
        <v>165</v>
      </c>
      <c r="F423">
        <v>1133</v>
      </c>
      <c r="G423">
        <v>186945</v>
      </c>
      <c r="H423">
        <v>39829</v>
      </c>
    </row>
    <row r="424" spans="1:8" x14ac:dyDescent="0.25">
      <c r="A424">
        <v>2024</v>
      </c>
      <c r="B424" t="s">
        <v>10</v>
      </c>
      <c r="C424" t="s">
        <v>20</v>
      </c>
      <c r="D424" t="s">
        <v>28</v>
      </c>
      <c r="E424">
        <v>424</v>
      </c>
      <c r="F424">
        <v>1361</v>
      </c>
      <c r="G424">
        <v>577064</v>
      </c>
      <c r="H424">
        <v>117249</v>
      </c>
    </row>
    <row r="425" spans="1:8" x14ac:dyDescent="0.25">
      <c r="A425">
        <v>2024</v>
      </c>
      <c r="B425" t="s">
        <v>10</v>
      </c>
      <c r="C425" t="s">
        <v>20</v>
      </c>
      <c r="D425" t="s">
        <v>29</v>
      </c>
      <c r="E425">
        <v>381</v>
      </c>
      <c r="F425">
        <v>1364</v>
      </c>
      <c r="G425">
        <v>519684</v>
      </c>
      <c r="H425">
        <v>64937</v>
      </c>
    </row>
    <row r="426" spans="1:8" x14ac:dyDescent="0.25">
      <c r="A426">
        <v>2024</v>
      </c>
      <c r="B426" t="s">
        <v>10</v>
      </c>
      <c r="C426" t="s">
        <v>20</v>
      </c>
      <c r="D426" t="s">
        <v>30</v>
      </c>
      <c r="E426">
        <v>108</v>
      </c>
      <c r="F426">
        <v>1100</v>
      </c>
      <c r="G426">
        <v>118800</v>
      </c>
      <c r="H426">
        <v>22254</v>
      </c>
    </row>
    <row r="427" spans="1:8" x14ac:dyDescent="0.25">
      <c r="A427">
        <v>2024</v>
      </c>
      <c r="B427" t="s">
        <v>10</v>
      </c>
      <c r="C427" t="s">
        <v>21</v>
      </c>
      <c r="D427" t="s">
        <v>26</v>
      </c>
      <c r="E427">
        <v>323</v>
      </c>
      <c r="F427">
        <v>731</v>
      </c>
      <c r="G427">
        <v>236113</v>
      </c>
      <c r="H427">
        <v>26256</v>
      </c>
    </row>
    <row r="428" spans="1:8" x14ac:dyDescent="0.25">
      <c r="A428">
        <v>2024</v>
      </c>
      <c r="B428" t="s">
        <v>10</v>
      </c>
      <c r="C428" t="s">
        <v>21</v>
      </c>
      <c r="D428" t="s">
        <v>27</v>
      </c>
      <c r="E428">
        <v>343</v>
      </c>
      <c r="F428">
        <v>894</v>
      </c>
      <c r="G428">
        <v>306642</v>
      </c>
      <c r="H428">
        <v>75441</v>
      </c>
    </row>
    <row r="429" spans="1:8" x14ac:dyDescent="0.25">
      <c r="A429">
        <v>2024</v>
      </c>
      <c r="B429" t="s">
        <v>10</v>
      </c>
      <c r="C429" t="s">
        <v>21</v>
      </c>
      <c r="D429" t="s">
        <v>28</v>
      </c>
      <c r="E429">
        <v>432</v>
      </c>
      <c r="F429">
        <v>809</v>
      </c>
      <c r="G429">
        <v>349488</v>
      </c>
      <c r="H429">
        <v>68896</v>
      </c>
    </row>
    <row r="430" spans="1:8" x14ac:dyDescent="0.25">
      <c r="A430">
        <v>2024</v>
      </c>
      <c r="B430" t="s">
        <v>10</v>
      </c>
      <c r="C430" t="s">
        <v>21</v>
      </c>
      <c r="D430" t="s">
        <v>29</v>
      </c>
      <c r="E430">
        <v>102</v>
      </c>
      <c r="F430">
        <v>733</v>
      </c>
      <c r="G430">
        <v>74766</v>
      </c>
      <c r="H430">
        <v>16689</v>
      </c>
    </row>
    <row r="431" spans="1:8" x14ac:dyDescent="0.25">
      <c r="A431">
        <v>2024</v>
      </c>
      <c r="B431" t="s">
        <v>10</v>
      </c>
      <c r="C431" t="s">
        <v>21</v>
      </c>
      <c r="D431" t="s">
        <v>30</v>
      </c>
      <c r="E431">
        <v>187</v>
      </c>
      <c r="F431">
        <v>883</v>
      </c>
      <c r="G431">
        <v>165121</v>
      </c>
      <c r="H431">
        <v>22766</v>
      </c>
    </row>
    <row r="432" spans="1:8" x14ac:dyDescent="0.25">
      <c r="A432">
        <v>2024</v>
      </c>
      <c r="B432" t="s">
        <v>10</v>
      </c>
      <c r="C432" t="s">
        <v>22</v>
      </c>
      <c r="D432" t="s">
        <v>26</v>
      </c>
      <c r="E432">
        <v>124</v>
      </c>
      <c r="F432">
        <v>112</v>
      </c>
      <c r="G432">
        <v>13888</v>
      </c>
      <c r="H432">
        <v>2364</v>
      </c>
    </row>
    <row r="433" spans="1:8" x14ac:dyDescent="0.25">
      <c r="A433">
        <v>2024</v>
      </c>
      <c r="B433" t="s">
        <v>10</v>
      </c>
      <c r="C433" t="s">
        <v>22</v>
      </c>
      <c r="D433" t="s">
        <v>27</v>
      </c>
      <c r="E433">
        <v>98</v>
      </c>
      <c r="F433">
        <v>120</v>
      </c>
      <c r="G433">
        <v>11760</v>
      </c>
      <c r="H433">
        <v>1972</v>
      </c>
    </row>
    <row r="434" spans="1:8" x14ac:dyDescent="0.25">
      <c r="A434">
        <v>2024</v>
      </c>
      <c r="B434" t="s">
        <v>10</v>
      </c>
      <c r="C434" t="s">
        <v>22</v>
      </c>
      <c r="D434" t="s">
        <v>28</v>
      </c>
      <c r="E434">
        <v>140</v>
      </c>
      <c r="F434">
        <v>123</v>
      </c>
      <c r="G434">
        <v>17220</v>
      </c>
      <c r="H434">
        <v>3855</v>
      </c>
    </row>
    <row r="435" spans="1:8" x14ac:dyDescent="0.25">
      <c r="A435">
        <v>2024</v>
      </c>
      <c r="B435" t="s">
        <v>10</v>
      </c>
      <c r="C435" t="s">
        <v>22</v>
      </c>
      <c r="D435" t="s">
        <v>29</v>
      </c>
      <c r="E435">
        <v>183</v>
      </c>
      <c r="F435">
        <v>114</v>
      </c>
      <c r="G435">
        <v>20862</v>
      </c>
      <c r="H435">
        <v>2343</v>
      </c>
    </row>
    <row r="436" spans="1:8" x14ac:dyDescent="0.25">
      <c r="A436">
        <v>2024</v>
      </c>
      <c r="B436" t="s">
        <v>10</v>
      </c>
      <c r="C436" t="s">
        <v>22</v>
      </c>
      <c r="D436" t="s">
        <v>30</v>
      </c>
      <c r="E436">
        <v>193</v>
      </c>
      <c r="F436">
        <v>127</v>
      </c>
      <c r="G436">
        <v>24511</v>
      </c>
      <c r="H436">
        <v>3455</v>
      </c>
    </row>
    <row r="437" spans="1:8" x14ac:dyDescent="0.25">
      <c r="A437">
        <v>2024</v>
      </c>
      <c r="B437" t="s">
        <v>10</v>
      </c>
      <c r="C437" t="s">
        <v>23</v>
      </c>
      <c r="D437" t="s">
        <v>26</v>
      </c>
      <c r="E437">
        <v>374</v>
      </c>
      <c r="F437">
        <v>544</v>
      </c>
      <c r="G437">
        <v>203456</v>
      </c>
      <c r="H437">
        <v>42662</v>
      </c>
    </row>
    <row r="438" spans="1:8" x14ac:dyDescent="0.25">
      <c r="A438">
        <v>2024</v>
      </c>
      <c r="B438" t="s">
        <v>10</v>
      </c>
      <c r="C438" t="s">
        <v>23</v>
      </c>
      <c r="D438" t="s">
        <v>27</v>
      </c>
      <c r="E438">
        <v>453</v>
      </c>
      <c r="F438">
        <v>602</v>
      </c>
      <c r="G438">
        <v>272706</v>
      </c>
      <c r="H438">
        <v>53390</v>
      </c>
    </row>
    <row r="439" spans="1:8" x14ac:dyDescent="0.25">
      <c r="A439">
        <v>2024</v>
      </c>
      <c r="B439" t="s">
        <v>10</v>
      </c>
      <c r="C439" t="s">
        <v>23</v>
      </c>
      <c r="D439" t="s">
        <v>28</v>
      </c>
      <c r="E439">
        <v>405</v>
      </c>
      <c r="F439">
        <v>654</v>
      </c>
      <c r="G439">
        <v>264870</v>
      </c>
      <c r="H439">
        <v>44059</v>
      </c>
    </row>
    <row r="440" spans="1:8" x14ac:dyDescent="0.25">
      <c r="A440">
        <v>2024</v>
      </c>
      <c r="B440" t="s">
        <v>10</v>
      </c>
      <c r="C440" t="s">
        <v>23</v>
      </c>
      <c r="D440" t="s">
        <v>29</v>
      </c>
      <c r="E440">
        <v>399</v>
      </c>
      <c r="F440">
        <v>588</v>
      </c>
      <c r="G440">
        <v>234612</v>
      </c>
      <c r="H440">
        <v>48954</v>
      </c>
    </row>
    <row r="441" spans="1:8" x14ac:dyDescent="0.25">
      <c r="A441">
        <v>2024</v>
      </c>
      <c r="B441" t="s">
        <v>10</v>
      </c>
      <c r="C441" t="s">
        <v>23</v>
      </c>
      <c r="D441" t="s">
        <v>30</v>
      </c>
      <c r="E441">
        <v>286</v>
      </c>
      <c r="F441">
        <v>571</v>
      </c>
      <c r="G441">
        <v>163306</v>
      </c>
      <c r="H441">
        <v>17093</v>
      </c>
    </row>
    <row r="442" spans="1:8" x14ac:dyDescent="0.25">
      <c r="A442">
        <v>2024</v>
      </c>
      <c r="B442" t="s">
        <v>10</v>
      </c>
      <c r="C442" t="s">
        <v>24</v>
      </c>
      <c r="D442" t="s">
        <v>26</v>
      </c>
      <c r="E442">
        <v>427</v>
      </c>
      <c r="F442">
        <v>269</v>
      </c>
      <c r="G442">
        <v>114863</v>
      </c>
      <c r="H442">
        <v>21182</v>
      </c>
    </row>
    <row r="443" spans="1:8" x14ac:dyDescent="0.25">
      <c r="A443">
        <v>2024</v>
      </c>
      <c r="B443" t="s">
        <v>10</v>
      </c>
      <c r="C443" t="s">
        <v>24</v>
      </c>
      <c r="D443" t="s">
        <v>27</v>
      </c>
      <c r="E443">
        <v>341</v>
      </c>
      <c r="F443">
        <v>258</v>
      </c>
      <c r="G443">
        <v>87978</v>
      </c>
      <c r="H443">
        <v>10899</v>
      </c>
    </row>
    <row r="444" spans="1:8" x14ac:dyDescent="0.25">
      <c r="A444">
        <v>2024</v>
      </c>
      <c r="B444" t="s">
        <v>10</v>
      </c>
      <c r="C444" t="s">
        <v>24</v>
      </c>
      <c r="D444" t="s">
        <v>28</v>
      </c>
      <c r="E444">
        <v>266</v>
      </c>
      <c r="F444">
        <v>230</v>
      </c>
      <c r="G444">
        <v>61180</v>
      </c>
      <c r="H444">
        <v>7528</v>
      </c>
    </row>
    <row r="445" spans="1:8" x14ac:dyDescent="0.25">
      <c r="A445">
        <v>2024</v>
      </c>
      <c r="B445" t="s">
        <v>10</v>
      </c>
      <c r="C445" t="s">
        <v>24</v>
      </c>
      <c r="D445" t="s">
        <v>29</v>
      </c>
      <c r="E445">
        <v>125</v>
      </c>
      <c r="F445">
        <v>277</v>
      </c>
      <c r="G445">
        <v>34625</v>
      </c>
      <c r="H445">
        <v>7415</v>
      </c>
    </row>
    <row r="446" spans="1:8" x14ac:dyDescent="0.25">
      <c r="A446">
        <v>2024</v>
      </c>
      <c r="B446" t="s">
        <v>10</v>
      </c>
      <c r="C446" t="s">
        <v>24</v>
      </c>
      <c r="D446" t="s">
        <v>30</v>
      </c>
      <c r="E446">
        <v>308</v>
      </c>
      <c r="F446">
        <v>281</v>
      </c>
      <c r="G446">
        <v>86548</v>
      </c>
      <c r="H446">
        <v>21215</v>
      </c>
    </row>
    <row r="447" spans="1:8" x14ac:dyDescent="0.25">
      <c r="A447">
        <v>2024</v>
      </c>
      <c r="B447" t="s">
        <v>10</v>
      </c>
      <c r="C447" t="s">
        <v>25</v>
      </c>
      <c r="D447" t="s">
        <v>26</v>
      </c>
      <c r="E447">
        <v>148</v>
      </c>
      <c r="F447">
        <v>355</v>
      </c>
      <c r="G447">
        <v>52540</v>
      </c>
      <c r="H447">
        <v>5263</v>
      </c>
    </row>
    <row r="448" spans="1:8" x14ac:dyDescent="0.25">
      <c r="A448">
        <v>2024</v>
      </c>
      <c r="B448" t="s">
        <v>10</v>
      </c>
      <c r="C448" t="s">
        <v>25</v>
      </c>
      <c r="D448" t="s">
        <v>27</v>
      </c>
      <c r="E448">
        <v>418</v>
      </c>
      <c r="F448">
        <v>368</v>
      </c>
      <c r="G448">
        <v>153824</v>
      </c>
      <c r="H448">
        <v>21094</v>
      </c>
    </row>
    <row r="449" spans="1:8" x14ac:dyDescent="0.25">
      <c r="A449">
        <v>2024</v>
      </c>
      <c r="B449" t="s">
        <v>10</v>
      </c>
      <c r="C449" t="s">
        <v>25</v>
      </c>
      <c r="D449" t="s">
        <v>28</v>
      </c>
      <c r="E449">
        <v>104</v>
      </c>
      <c r="F449">
        <v>332</v>
      </c>
      <c r="G449">
        <v>34528</v>
      </c>
      <c r="H449">
        <v>5998</v>
      </c>
    </row>
    <row r="450" spans="1:8" x14ac:dyDescent="0.25">
      <c r="A450">
        <v>2024</v>
      </c>
      <c r="B450" t="s">
        <v>10</v>
      </c>
      <c r="C450" t="s">
        <v>25</v>
      </c>
      <c r="D450" t="s">
        <v>29</v>
      </c>
      <c r="E450">
        <v>473</v>
      </c>
      <c r="F450">
        <v>372</v>
      </c>
      <c r="G450">
        <v>175956</v>
      </c>
      <c r="H450">
        <v>26197</v>
      </c>
    </row>
    <row r="451" spans="1:8" x14ac:dyDescent="0.25">
      <c r="A451">
        <v>2024</v>
      </c>
      <c r="B451" t="s">
        <v>10</v>
      </c>
      <c r="C451" t="s">
        <v>25</v>
      </c>
      <c r="D451" t="s">
        <v>30</v>
      </c>
      <c r="E451">
        <v>179</v>
      </c>
      <c r="F451">
        <v>342</v>
      </c>
      <c r="G451">
        <v>61218</v>
      </c>
      <c r="H451">
        <v>10301</v>
      </c>
    </row>
    <row r="452" spans="1:8" x14ac:dyDescent="0.25">
      <c r="A452">
        <v>2024</v>
      </c>
      <c r="B452" t="s">
        <v>11</v>
      </c>
      <c r="C452" t="s">
        <v>20</v>
      </c>
      <c r="D452" t="s">
        <v>26</v>
      </c>
      <c r="E452">
        <v>178</v>
      </c>
      <c r="F452">
        <v>1219</v>
      </c>
      <c r="G452">
        <v>216982</v>
      </c>
      <c r="H452">
        <v>43845</v>
      </c>
    </row>
    <row r="453" spans="1:8" x14ac:dyDescent="0.25">
      <c r="A453">
        <v>2024</v>
      </c>
      <c r="B453" t="s">
        <v>11</v>
      </c>
      <c r="C453" t="s">
        <v>20</v>
      </c>
      <c r="D453" t="s">
        <v>27</v>
      </c>
      <c r="E453">
        <v>205</v>
      </c>
      <c r="F453">
        <v>1296</v>
      </c>
      <c r="G453">
        <v>265680</v>
      </c>
      <c r="H453">
        <v>52750</v>
      </c>
    </row>
    <row r="454" spans="1:8" x14ac:dyDescent="0.25">
      <c r="A454">
        <v>2024</v>
      </c>
      <c r="B454" t="s">
        <v>11</v>
      </c>
      <c r="C454" t="s">
        <v>20</v>
      </c>
      <c r="D454" t="s">
        <v>28</v>
      </c>
      <c r="E454">
        <v>349</v>
      </c>
      <c r="F454">
        <v>1338</v>
      </c>
      <c r="G454">
        <v>466962</v>
      </c>
      <c r="H454">
        <v>101320</v>
      </c>
    </row>
    <row r="455" spans="1:8" x14ac:dyDescent="0.25">
      <c r="A455">
        <v>2024</v>
      </c>
      <c r="B455" t="s">
        <v>11</v>
      </c>
      <c r="C455" t="s">
        <v>20</v>
      </c>
      <c r="D455" t="s">
        <v>29</v>
      </c>
      <c r="E455">
        <v>408</v>
      </c>
      <c r="F455">
        <v>1224</v>
      </c>
      <c r="G455">
        <v>499392</v>
      </c>
      <c r="H455">
        <v>57799</v>
      </c>
    </row>
    <row r="456" spans="1:8" x14ac:dyDescent="0.25">
      <c r="A456">
        <v>2024</v>
      </c>
      <c r="B456" t="s">
        <v>11</v>
      </c>
      <c r="C456" t="s">
        <v>20</v>
      </c>
      <c r="D456" t="s">
        <v>30</v>
      </c>
      <c r="E456">
        <v>183</v>
      </c>
      <c r="F456">
        <v>1375</v>
      </c>
      <c r="G456">
        <v>251625</v>
      </c>
      <c r="H456">
        <v>30540</v>
      </c>
    </row>
    <row r="457" spans="1:8" x14ac:dyDescent="0.25">
      <c r="A457">
        <v>2024</v>
      </c>
      <c r="B457" t="s">
        <v>11</v>
      </c>
      <c r="C457" t="s">
        <v>21</v>
      </c>
      <c r="D457" t="s">
        <v>26</v>
      </c>
      <c r="E457">
        <v>187</v>
      </c>
      <c r="F457">
        <v>816</v>
      </c>
      <c r="G457">
        <v>152592</v>
      </c>
      <c r="H457">
        <v>20073</v>
      </c>
    </row>
    <row r="458" spans="1:8" x14ac:dyDescent="0.25">
      <c r="A458">
        <v>2024</v>
      </c>
      <c r="B458" t="s">
        <v>11</v>
      </c>
      <c r="C458" t="s">
        <v>21</v>
      </c>
      <c r="D458" t="s">
        <v>27</v>
      </c>
      <c r="E458">
        <v>283</v>
      </c>
      <c r="F458">
        <v>831</v>
      </c>
      <c r="G458">
        <v>235173</v>
      </c>
      <c r="H458">
        <v>23861</v>
      </c>
    </row>
    <row r="459" spans="1:8" x14ac:dyDescent="0.25">
      <c r="A459">
        <v>2024</v>
      </c>
      <c r="B459" t="s">
        <v>11</v>
      </c>
      <c r="C459" t="s">
        <v>21</v>
      </c>
      <c r="D459" t="s">
        <v>28</v>
      </c>
      <c r="E459">
        <v>95</v>
      </c>
      <c r="F459">
        <v>826</v>
      </c>
      <c r="G459">
        <v>78470</v>
      </c>
      <c r="H459">
        <v>18234</v>
      </c>
    </row>
    <row r="460" spans="1:8" x14ac:dyDescent="0.25">
      <c r="A460">
        <v>2024</v>
      </c>
      <c r="B460" t="s">
        <v>11</v>
      </c>
      <c r="C460" t="s">
        <v>21</v>
      </c>
      <c r="D460" t="s">
        <v>29</v>
      </c>
      <c r="E460">
        <v>184</v>
      </c>
      <c r="F460">
        <v>735</v>
      </c>
      <c r="G460">
        <v>135240</v>
      </c>
      <c r="H460">
        <v>21575</v>
      </c>
    </row>
    <row r="461" spans="1:8" x14ac:dyDescent="0.25">
      <c r="A461">
        <v>2024</v>
      </c>
      <c r="B461" t="s">
        <v>11</v>
      </c>
      <c r="C461" t="s">
        <v>21</v>
      </c>
      <c r="D461" t="s">
        <v>30</v>
      </c>
      <c r="E461">
        <v>322</v>
      </c>
      <c r="F461">
        <v>915</v>
      </c>
      <c r="G461">
        <v>294630</v>
      </c>
      <c r="H461">
        <v>38339</v>
      </c>
    </row>
    <row r="462" spans="1:8" x14ac:dyDescent="0.25">
      <c r="A462">
        <v>2024</v>
      </c>
      <c r="B462" t="s">
        <v>11</v>
      </c>
      <c r="C462" t="s">
        <v>22</v>
      </c>
      <c r="D462" t="s">
        <v>26</v>
      </c>
      <c r="E462">
        <v>237</v>
      </c>
      <c r="F462">
        <v>132</v>
      </c>
      <c r="G462">
        <v>31284</v>
      </c>
      <c r="H462">
        <v>4067</v>
      </c>
    </row>
    <row r="463" spans="1:8" x14ac:dyDescent="0.25">
      <c r="A463">
        <v>2024</v>
      </c>
      <c r="B463" t="s">
        <v>11</v>
      </c>
      <c r="C463" t="s">
        <v>22</v>
      </c>
      <c r="D463" t="s">
        <v>27</v>
      </c>
      <c r="E463">
        <v>453</v>
      </c>
      <c r="F463">
        <v>136</v>
      </c>
      <c r="G463">
        <v>61608</v>
      </c>
      <c r="H463">
        <v>7308</v>
      </c>
    </row>
    <row r="464" spans="1:8" x14ac:dyDescent="0.25">
      <c r="A464">
        <v>2024</v>
      </c>
      <c r="B464" t="s">
        <v>11</v>
      </c>
      <c r="C464" t="s">
        <v>22</v>
      </c>
      <c r="D464" t="s">
        <v>28</v>
      </c>
      <c r="E464">
        <v>238</v>
      </c>
      <c r="F464">
        <v>108</v>
      </c>
      <c r="G464">
        <v>25704</v>
      </c>
      <c r="H464">
        <v>6180</v>
      </c>
    </row>
    <row r="465" spans="1:8" x14ac:dyDescent="0.25">
      <c r="A465">
        <v>2024</v>
      </c>
      <c r="B465" t="s">
        <v>11</v>
      </c>
      <c r="C465" t="s">
        <v>22</v>
      </c>
      <c r="D465" t="s">
        <v>29</v>
      </c>
      <c r="E465">
        <v>356</v>
      </c>
      <c r="F465">
        <v>124</v>
      </c>
      <c r="G465">
        <v>44144</v>
      </c>
      <c r="H465">
        <v>9109</v>
      </c>
    </row>
    <row r="466" spans="1:8" x14ac:dyDescent="0.25">
      <c r="A466">
        <v>2024</v>
      </c>
      <c r="B466" t="s">
        <v>11</v>
      </c>
      <c r="C466" t="s">
        <v>22</v>
      </c>
      <c r="D466" t="s">
        <v>30</v>
      </c>
      <c r="E466">
        <v>405</v>
      </c>
      <c r="F466">
        <v>136</v>
      </c>
      <c r="G466">
        <v>55080</v>
      </c>
      <c r="H466">
        <v>10674</v>
      </c>
    </row>
    <row r="467" spans="1:8" x14ac:dyDescent="0.25">
      <c r="A467">
        <v>2024</v>
      </c>
      <c r="B467" t="s">
        <v>11</v>
      </c>
      <c r="C467" t="s">
        <v>23</v>
      </c>
      <c r="D467" t="s">
        <v>26</v>
      </c>
      <c r="E467">
        <v>192</v>
      </c>
      <c r="F467">
        <v>590</v>
      </c>
      <c r="G467">
        <v>113280</v>
      </c>
      <c r="H467">
        <v>25173</v>
      </c>
    </row>
    <row r="468" spans="1:8" x14ac:dyDescent="0.25">
      <c r="A468">
        <v>2024</v>
      </c>
      <c r="B468" t="s">
        <v>11</v>
      </c>
      <c r="C468" t="s">
        <v>23</v>
      </c>
      <c r="D468" t="s">
        <v>27</v>
      </c>
      <c r="E468">
        <v>101</v>
      </c>
      <c r="F468">
        <v>639</v>
      </c>
      <c r="G468">
        <v>64539</v>
      </c>
      <c r="H468">
        <v>11807</v>
      </c>
    </row>
    <row r="469" spans="1:8" x14ac:dyDescent="0.25">
      <c r="A469">
        <v>2024</v>
      </c>
      <c r="B469" t="s">
        <v>11</v>
      </c>
      <c r="C469" t="s">
        <v>23</v>
      </c>
      <c r="D469" t="s">
        <v>28</v>
      </c>
      <c r="E469">
        <v>464</v>
      </c>
      <c r="F469">
        <v>657</v>
      </c>
      <c r="G469">
        <v>304848</v>
      </c>
      <c r="H469">
        <v>52475</v>
      </c>
    </row>
    <row r="470" spans="1:8" x14ac:dyDescent="0.25">
      <c r="A470">
        <v>2024</v>
      </c>
      <c r="B470" t="s">
        <v>11</v>
      </c>
      <c r="C470" t="s">
        <v>23</v>
      </c>
      <c r="D470" t="s">
        <v>29</v>
      </c>
      <c r="E470">
        <v>243</v>
      </c>
      <c r="F470">
        <v>618</v>
      </c>
      <c r="G470">
        <v>150174</v>
      </c>
      <c r="H470">
        <v>31497</v>
      </c>
    </row>
    <row r="471" spans="1:8" x14ac:dyDescent="0.25">
      <c r="A471">
        <v>2024</v>
      </c>
      <c r="B471" t="s">
        <v>11</v>
      </c>
      <c r="C471" t="s">
        <v>23</v>
      </c>
      <c r="D471" t="s">
        <v>30</v>
      </c>
      <c r="E471">
        <v>107</v>
      </c>
      <c r="F471">
        <v>577</v>
      </c>
      <c r="G471">
        <v>61739</v>
      </c>
      <c r="H471">
        <v>7651</v>
      </c>
    </row>
    <row r="472" spans="1:8" x14ac:dyDescent="0.25">
      <c r="A472">
        <v>2024</v>
      </c>
      <c r="B472" t="s">
        <v>11</v>
      </c>
      <c r="C472" t="s">
        <v>24</v>
      </c>
      <c r="D472" t="s">
        <v>26</v>
      </c>
      <c r="E472">
        <v>448</v>
      </c>
      <c r="F472">
        <v>263</v>
      </c>
      <c r="G472">
        <v>117824</v>
      </c>
      <c r="H472">
        <v>17597</v>
      </c>
    </row>
    <row r="473" spans="1:8" x14ac:dyDescent="0.25">
      <c r="A473">
        <v>2024</v>
      </c>
      <c r="B473" t="s">
        <v>11</v>
      </c>
      <c r="C473" t="s">
        <v>24</v>
      </c>
      <c r="D473" t="s">
        <v>27</v>
      </c>
      <c r="E473">
        <v>374</v>
      </c>
      <c r="F473">
        <v>246</v>
      </c>
      <c r="G473">
        <v>92004</v>
      </c>
      <c r="H473">
        <v>11713</v>
      </c>
    </row>
    <row r="474" spans="1:8" x14ac:dyDescent="0.25">
      <c r="A474">
        <v>2024</v>
      </c>
      <c r="B474" t="s">
        <v>11</v>
      </c>
      <c r="C474" t="s">
        <v>24</v>
      </c>
      <c r="D474" t="s">
        <v>28</v>
      </c>
      <c r="E474">
        <v>233</v>
      </c>
      <c r="F474">
        <v>252</v>
      </c>
      <c r="G474">
        <v>58716</v>
      </c>
      <c r="H474">
        <v>6256</v>
      </c>
    </row>
    <row r="475" spans="1:8" x14ac:dyDescent="0.25">
      <c r="A475">
        <v>2024</v>
      </c>
      <c r="B475" t="s">
        <v>11</v>
      </c>
      <c r="C475" t="s">
        <v>24</v>
      </c>
      <c r="D475" t="s">
        <v>29</v>
      </c>
      <c r="E475">
        <v>447</v>
      </c>
      <c r="F475">
        <v>259</v>
      </c>
      <c r="G475">
        <v>115773</v>
      </c>
      <c r="H475">
        <v>24066</v>
      </c>
    </row>
    <row r="476" spans="1:8" x14ac:dyDescent="0.25">
      <c r="A476">
        <v>2024</v>
      </c>
      <c r="B476" t="s">
        <v>11</v>
      </c>
      <c r="C476" t="s">
        <v>24</v>
      </c>
      <c r="D476" t="s">
        <v>30</v>
      </c>
      <c r="E476">
        <v>270</v>
      </c>
      <c r="F476">
        <v>245</v>
      </c>
      <c r="G476">
        <v>66150</v>
      </c>
      <c r="H476">
        <v>11997</v>
      </c>
    </row>
    <row r="477" spans="1:8" x14ac:dyDescent="0.25">
      <c r="A477">
        <v>2024</v>
      </c>
      <c r="B477" t="s">
        <v>11</v>
      </c>
      <c r="C477" t="s">
        <v>25</v>
      </c>
      <c r="D477" t="s">
        <v>26</v>
      </c>
      <c r="E477">
        <v>162</v>
      </c>
      <c r="F477">
        <v>371</v>
      </c>
      <c r="G477">
        <v>60102</v>
      </c>
      <c r="H477">
        <v>7809</v>
      </c>
    </row>
    <row r="478" spans="1:8" x14ac:dyDescent="0.25">
      <c r="A478">
        <v>2024</v>
      </c>
      <c r="B478" t="s">
        <v>11</v>
      </c>
      <c r="C478" t="s">
        <v>25</v>
      </c>
      <c r="D478" t="s">
        <v>27</v>
      </c>
      <c r="E478">
        <v>134</v>
      </c>
      <c r="F478">
        <v>334</v>
      </c>
      <c r="G478">
        <v>44756</v>
      </c>
      <c r="H478">
        <v>7284</v>
      </c>
    </row>
    <row r="479" spans="1:8" x14ac:dyDescent="0.25">
      <c r="A479">
        <v>2024</v>
      </c>
      <c r="B479" t="s">
        <v>11</v>
      </c>
      <c r="C479" t="s">
        <v>25</v>
      </c>
      <c r="D479" t="s">
        <v>28</v>
      </c>
      <c r="E479">
        <v>337</v>
      </c>
      <c r="F479">
        <v>337</v>
      </c>
      <c r="G479">
        <v>113569</v>
      </c>
      <c r="H479">
        <v>19237</v>
      </c>
    </row>
    <row r="480" spans="1:8" x14ac:dyDescent="0.25">
      <c r="A480">
        <v>2024</v>
      </c>
      <c r="B480" t="s">
        <v>11</v>
      </c>
      <c r="C480" t="s">
        <v>25</v>
      </c>
      <c r="D480" t="s">
        <v>29</v>
      </c>
      <c r="E480">
        <v>344</v>
      </c>
      <c r="F480">
        <v>378</v>
      </c>
      <c r="G480">
        <v>130032</v>
      </c>
      <c r="H480">
        <v>27489</v>
      </c>
    </row>
    <row r="481" spans="1:8" x14ac:dyDescent="0.25">
      <c r="A481">
        <v>2024</v>
      </c>
      <c r="B481" t="s">
        <v>11</v>
      </c>
      <c r="C481" t="s">
        <v>25</v>
      </c>
      <c r="D481" t="s">
        <v>30</v>
      </c>
      <c r="E481">
        <v>439</v>
      </c>
      <c r="F481">
        <v>345</v>
      </c>
      <c r="G481">
        <v>151455</v>
      </c>
      <c r="H481">
        <v>23574</v>
      </c>
    </row>
    <row r="482" spans="1:8" x14ac:dyDescent="0.25">
      <c r="A482">
        <v>2024</v>
      </c>
      <c r="B482" t="s">
        <v>12</v>
      </c>
      <c r="C482" t="s">
        <v>20</v>
      </c>
      <c r="D482" t="s">
        <v>26</v>
      </c>
      <c r="E482">
        <v>114</v>
      </c>
      <c r="F482">
        <v>1231</v>
      </c>
      <c r="G482">
        <v>140334</v>
      </c>
      <c r="H482">
        <v>25469</v>
      </c>
    </row>
    <row r="483" spans="1:8" x14ac:dyDescent="0.25">
      <c r="A483">
        <v>2024</v>
      </c>
      <c r="B483" t="s">
        <v>12</v>
      </c>
      <c r="C483" t="s">
        <v>20</v>
      </c>
      <c r="D483" t="s">
        <v>27</v>
      </c>
      <c r="E483">
        <v>203</v>
      </c>
      <c r="F483">
        <v>1256</v>
      </c>
      <c r="G483">
        <v>254968</v>
      </c>
      <c r="H483">
        <v>26620</v>
      </c>
    </row>
    <row r="484" spans="1:8" x14ac:dyDescent="0.25">
      <c r="A484">
        <v>2024</v>
      </c>
      <c r="B484" t="s">
        <v>12</v>
      </c>
      <c r="C484" t="s">
        <v>20</v>
      </c>
      <c r="D484" t="s">
        <v>28</v>
      </c>
      <c r="E484">
        <v>356</v>
      </c>
      <c r="F484">
        <v>1342</v>
      </c>
      <c r="G484">
        <v>477752</v>
      </c>
      <c r="H484">
        <v>112322</v>
      </c>
    </row>
    <row r="485" spans="1:8" x14ac:dyDescent="0.25">
      <c r="A485">
        <v>2024</v>
      </c>
      <c r="B485" t="s">
        <v>12</v>
      </c>
      <c r="C485" t="s">
        <v>20</v>
      </c>
      <c r="D485" t="s">
        <v>29</v>
      </c>
      <c r="E485">
        <v>395</v>
      </c>
      <c r="F485">
        <v>1276</v>
      </c>
      <c r="G485">
        <v>504020</v>
      </c>
      <c r="H485">
        <v>125410</v>
      </c>
    </row>
    <row r="486" spans="1:8" x14ac:dyDescent="0.25">
      <c r="A486">
        <v>2024</v>
      </c>
      <c r="B486" t="s">
        <v>12</v>
      </c>
      <c r="C486" t="s">
        <v>20</v>
      </c>
      <c r="D486" t="s">
        <v>30</v>
      </c>
      <c r="E486">
        <v>307</v>
      </c>
      <c r="F486">
        <v>1353</v>
      </c>
      <c r="G486">
        <v>415371</v>
      </c>
      <c r="H486">
        <v>54662</v>
      </c>
    </row>
    <row r="487" spans="1:8" x14ac:dyDescent="0.25">
      <c r="A487">
        <v>2024</v>
      </c>
      <c r="B487" t="s">
        <v>12</v>
      </c>
      <c r="C487" t="s">
        <v>21</v>
      </c>
      <c r="D487" t="s">
        <v>26</v>
      </c>
      <c r="E487">
        <v>366</v>
      </c>
      <c r="F487">
        <v>813</v>
      </c>
      <c r="G487">
        <v>297558</v>
      </c>
      <c r="H487">
        <v>67069</v>
      </c>
    </row>
    <row r="488" spans="1:8" x14ac:dyDescent="0.25">
      <c r="A488">
        <v>2024</v>
      </c>
      <c r="B488" t="s">
        <v>12</v>
      </c>
      <c r="C488" t="s">
        <v>21</v>
      </c>
      <c r="D488" t="s">
        <v>27</v>
      </c>
      <c r="E488">
        <v>352</v>
      </c>
      <c r="F488">
        <v>746</v>
      </c>
      <c r="G488">
        <v>262592</v>
      </c>
      <c r="H488">
        <v>54454</v>
      </c>
    </row>
    <row r="489" spans="1:8" x14ac:dyDescent="0.25">
      <c r="A489">
        <v>2024</v>
      </c>
      <c r="B489" t="s">
        <v>12</v>
      </c>
      <c r="C489" t="s">
        <v>21</v>
      </c>
      <c r="D489" t="s">
        <v>28</v>
      </c>
      <c r="E489">
        <v>370</v>
      </c>
      <c r="F489">
        <v>840</v>
      </c>
      <c r="G489">
        <v>310800</v>
      </c>
      <c r="H489">
        <v>60569</v>
      </c>
    </row>
    <row r="490" spans="1:8" x14ac:dyDescent="0.25">
      <c r="A490">
        <v>2024</v>
      </c>
      <c r="B490" t="s">
        <v>12</v>
      </c>
      <c r="C490" t="s">
        <v>21</v>
      </c>
      <c r="D490" t="s">
        <v>29</v>
      </c>
      <c r="E490">
        <v>107</v>
      </c>
      <c r="F490">
        <v>914</v>
      </c>
      <c r="G490">
        <v>97798</v>
      </c>
      <c r="H490">
        <v>12434</v>
      </c>
    </row>
    <row r="491" spans="1:8" x14ac:dyDescent="0.25">
      <c r="A491">
        <v>2024</v>
      </c>
      <c r="B491" t="s">
        <v>12</v>
      </c>
      <c r="C491" t="s">
        <v>21</v>
      </c>
      <c r="D491" t="s">
        <v>30</v>
      </c>
      <c r="E491">
        <v>139</v>
      </c>
      <c r="F491">
        <v>769</v>
      </c>
      <c r="G491">
        <v>106891</v>
      </c>
      <c r="H491">
        <v>24650</v>
      </c>
    </row>
    <row r="492" spans="1:8" x14ac:dyDescent="0.25">
      <c r="A492">
        <v>2024</v>
      </c>
      <c r="B492" t="s">
        <v>12</v>
      </c>
      <c r="C492" t="s">
        <v>22</v>
      </c>
      <c r="D492" t="s">
        <v>26</v>
      </c>
      <c r="E492">
        <v>220</v>
      </c>
      <c r="F492">
        <v>125</v>
      </c>
      <c r="G492">
        <v>27500</v>
      </c>
      <c r="H492">
        <v>5140</v>
      </c>
    </row>
    <row r="493" spans="1:8" x14ac:dyDescent="0.25">
      <c r="A493">
        <v>2024</v>
      </c>
      <c r="B493" t="s">
        <v>12</v>
      </c>
      <c r="C493" t="s">
        <v>22</v>
      </c>
      <c r="D493" t="s">
        <v>27</v>
      </c>
      <c r="E493">
        <v>189</v>
      </c>
      <c r="F493">
        <v>125</v>
      </c>
      <c r="G493">
        <v>23625</v>
      </c>
      <c r="H493">
        <v>2941</v>
      </c>
    </row>
    <row r="494" spans="1:8" x14ac:dyDescent="0.25">
      <c r="A494">
        <v>2024</v>
      </c>
      <c r="B494" t="s">
        <v>12</v>
      </c>
      <c r="C494" t="s">
        <v>22</v>
      </c>
      <c r="D494" t="s">
        <v>28</v>
      </c>
      <c r="E494">
        <v>124</v>
      </c>
      <c r="F494">
        <v>115</v>
      </c>
      <c r="G494">
        <v>14260</v>
      </c>
      <c r="H494">
        <v>2830</v>
      </c>
    </row>
    <row r="495" spans="1:8" x14ac:dyDescent="0.25">
      <c r="A495">
        <v>2024</v>
      </c>
      <c r="B495" t="s">
        <v>12</v>
      </c>
      <c r="C495" t="s">
        <v>22</v>
      </c>
      <c r="D495" t="s">
        <v>29</v>
      </c>
      <c r="E495">
        <v>281</v>
      </c>
      <c r="F495">
        <v>137</v>
      </c>
      <c r="G495">
        <v>38497</v>
      </c>
      <c r="H495">
        <v>6470</v>
      </c>
    </row>
    <row r="496" spans="1:8" x14ac:dyDescent="0.25">
      <c r="A496">
        <v>2024</v>
      </c>
      <c r="B496" t="s">
        <v>12</v>
      </c>
      <c r="C496" t="s">
        <v>22</v>
      </c>
      <c r="D496" t="s">
        <v>30</v>
      </c>
      <c r="E496">
        <v>103</v>
      </c>
      <c r="F496">
        <v>110</v>
      </c>
      <c r="G496">
        <v>11330</v>
      </c>
      <c r="H496">
        <v>1421</v>
      </c>
    </row>
    <row r="497" spans="1:8" x14ac:dyDescent="0.25">
      <c r="A497">
        <v>2024</v>
      </c>
      <c r="B497" t="s">
        <v>12</v>
      </c>
      <c r="C497" t="s">
        <v>23</v>
      </c>
      <c r="D497" t="s">
        <v>26</v>
      </c>
      <c r="E497">
        <v>199</v>
      </c>
      <c r="F497">
        <v>590</v>
      </c>
      <c r="G497">
        <v>117410</v>
      </c>
      <c r="H497">
        <v>26338</v>
      </c>
    </row>
    <row r="498" spans="1:8" x14ac:dyDescent="0.25">
      <c r="A498">
        <v>2024</v>
      </c>
      <c r="B498" t="s">
        <v>12</v>
      </c>
      <c r="C498" t="s">
        <v>23</v>
      </c>
      <c r="D498" t="s">
        <v>27</v>
      </c>
      <c r="E498">
        <v>389</v>
      </c>
      <c r="F498">
        <v>607</v>
      </c>
      <c r="G498">
        <v>236123</v>
      </c>
      <c r="H498">
        <v>44434</v>
      </c>
    </row>
    <row r="499" spans="1:8" x14ac:dyDescent="0.25">
      <c r="A499">
        <v>2024</v>
      </c>
      <c r="B499" t="s">
        <v>12</v>
      </c>
      <c r="C499" t="s">
        <v>23</v>
      </c>
      <c r="D499" t="s">
        <v>28</v>
      </c>
      <c r="E499">
        <v>92</v>
      </c>
      <c r="F499">
        <v>577</v>
      </c>
      <c r="G499">
        <v>53084</v>
      </c>
      <c r="H499">
        <v>8168</v>
      </c>
    </row>
    <row r="500" spans="1:8" x14ac:dyDescent="0.25">
      <c r="A500">
        <v>2024</v>
      </c>
      <c r="B500" t="s">
        <v>12</v>
      </c>
      <c r="C500" t="s">
        <v>23</v>
      </c>
      <c r="D500" t="s">
        <v>29</v>
      </c>
      <c r="E500">
        <v>421</v>
      </c>
      <c r="F500">
        <v>545</v>
      </c>
      <c r="G500">
        <v>229445</v>
      </c>
      <c r="H500">
        <v>48289</v>
      </c>
    </row>
    <row r="501" spans="1:8" x14ac:dyDescent="0.25">
      <c r="A501">
        <v>2024</v>
      </c>
      <c r="B501" t="s">
        <v>12</v>
      </c>
      <c r="C501" t="s">
        <v>23</v>
      </c>
      <c r="D501" t="s">
        <v>30</v>
      </c>
      <c r="E501">
        <v>328</v>
      </c>
      <c r="F501">
        <v>611</v>
      </c>
      <c r="G501">
        <v>200408</v>
      </c>
      <c r="H501">
        <v>45417</v>
      </c>
    </row>
    <row r="502" spans="1:8" x14ac:dyDescent="0.25">
      <c r="A502">
        <v>2024</v>
      </c>
      <c r="B502" t="s">
        <v>12</v>
      </c>
      <c r="C502" t="s">
        <v>24</v>
      </c>
      <c r="D502" t="s">
        <v>26</v>
      </c>
      <c r="E502">
        <v>142</v>
      </c>
      <c r="F502">
        <v>252</v>
      </c>
      <c r="G502">
        <v>35784</v>
      </c>
      <c r="H502">
        <v>8217</v>
      </c>
    </row>
    <row r="503" spans="1:8" x14ac:dyDescent="0.25">
      <c r="A503">
        <v>2024</v>
      </c>
      <c r="B503" t="s">
        <v>12</v>
      </c>
      <c r="C503" t="s">
        <v>24</v>
      </c>
      <c r="D503" t="s">
        <v>27</v>
      </c>
      <c r="E503">
        <v>216</v>
      </c>
      <c r="F503">
        <v>258</v>
      </c>
      <c r="G503">
        <v>55728</v>
      </c>
      <c r="H503">
        <v>5858</v>
      </c>
    </row>
    <row r="504" spans="1:8" x14ac:dyDescent="0.25">
      <c r="A504">
        <v>2024</v>
      </c>
      <c r="B504" t="s">
        <v>12</v>
      </c>
      <c r="C504" t="s">
        <v>24</v>
      </c>
      <c r="D504" t="s">
        <v>28</v>
      </c>
      <c r="E504">
        <v>242</v>
      </c>
      <c r="F504">
        <v>232</v>
      </c>
      <c r="G504">
        <v>56144</v>
      </c>
      <c r="H504">
        <v>7560</v>
      </c>
    </row>
    <row r="505" spans="1:8" x14ac:dyDescent="0.25">
      <c r="A505">
        <v>2024</v>
      </c>
      <c r="B505" t="s">
        <v>12</v>
      </c>
      <c r="C505" t="s">
        <v>24</v>
      </c>
      <c r="D505" t="s">
        <v>29</v>
      </c>
      <c r="E505">
        <v>418</v>
      </c>
      <c r="F505">
        <v>227</v>
      </c>
      <c r="G505">
        <v>94886</v>
      </c>
      <c r="H505">
        <v>11226</v>
      </c>
    </row>
    <row r="506" spans="1:8" x14ac:dyDescent="0.25">
      <c r="A506">
        <v>2024</v>
      </c>
      <c r="B506" t="s">
        <v>12</v>
      </c>
      <c r="C506" t="s">
        <v>24</v>
      </c>
      <c r="D506" t="s">
        <v>30</v>
      </c>
      <c r="E506">
        <v>321</v>
      </c>
      <c r="F506">
        <v>236</v>
      </c>
      <c r="G506">
        <v>75756</v>
      </c>
      <c r="H506">
        <v>8581</v>
      </c>
    </row>
    <row r="507" spans="1:8" x14ac:dyDescent="0.25">
      <c r="A507">
        <v>2024</v>
      </c>
      <c r="B507" t="s">
        <v>12</v>
      </c>
      <c r="C507" t="s">
        <v>25</v>
      </c>
      <c r="D507" t="s">
        <v>26</v>
      </c>
      <c r="E507">
        <v>278</v>
      </c>
      <c r="F507">
        <v>359</v>
      </c>
      <c r="G507">
        <v>99802</v>
      </c>
      <c r="H507">
        <v>10602</v>
      </c>
    </row>
    <row r="508" spans="1:8" x14ac:dyDescent="0.25">
      <c r="A508">
        <v>2024</v>
      </c>
      <c r="B508" t="s">
        <v>12</v>
      </c>
      <c r="C508" t="s">
        <v>25</v>
      </c>
      <c r="D508" t="s">
        <v>27</v>
      </c>
      <c r="E508">
        <v>411</v>
      </c>
      <c r="F508">
        <v>401</v>
      </c>
      <c r="G508">
        <v>164811</v>
      </c>
      <c r="H508">
        <v>40340</v>
      </c>
    </row>
    <row r="509" spans="1:8" x14ac:dyDescent="0.25">
      <c r="A509">
        <v>2024</v>
      </c>
      <c r="B509" t="s">
        <v>12</v>
      </c>
      <c r="C509" t="s">
        <v>25</v>
      </c>
      <c r="D509" t="s">
        <v>28</v>
      </c>
      <c r="E509">
        <v>438</v>
      </c>
      <c r="F509">
        <v>316</v>
      </c>
      <c r="G509">
        <v>138408</v>
      </c>
      <c r="H509">
        <v>20549</v>
      </c>
    </row>
    <row r="510" spans="1:8" x14ac:dyDescent="0.25">
      <c r="A510">
        <v>2024</v>
      </c>
      <c r="B510" t="s">
        <v>12</v>
      </c>
      <c r="C510" t="s">
        <v>25</v>
      </c>
      <c r="D510" t="s">
        <v>29</v>
      </c>
      <c r="E510">
        <v>422</v>
      </c>
      <c r="F510">
        <v>390</v>
      </c>
      <c r="G510">
        <v>164580</v>
      </c>
      <c r="H510">
        <v>27684</v>
      </c>
    </row>
    <row r="511" spans="1:8" x14ac:dyDescent="0.25">
      <c r="A511">
        <v>2024</v>
      </c>
      <c r="B511" t="s">
        <v>12</v>
      </c>
      <c r="C511" t="s">
        <v>25</v>
      </c>
      <c r="D511" t="s">
        <v>30</v>
      </c>
      <c r="E511">
        <v>298</v>
      </c>
      <c r="F511">
        <v>344</v>
      </c>
      <c r="G511">
        <v>102512</v>
      </c>
      <c r="H511">
        <v>18435</v>
      </c>
    </row>
    <row r="512" spans="1:8" x14ac:dyDescent="0.25">
      <c r="A512">
        <v>2024</v>
      </c>
      <c r="B512" t="s">
        <v>13</v>
      </c>
      <c r="C512" t="s">
        <v>20</v>
      </c>
      <c r="D512" t="s">
        <v>26</v>
      </c>
      <c r="E512">
        <v>260</v>
      </c>
      <c r="F512">
        <v>1088</v>
      </c>
      <c r="G512">
        <v>282880</v>
      </c>
      <c r="H512">
        <v>41354</v>
      </c>
    </row>
    <row r="513" spans="1:8" x14ac:dyDescent="0.25">
      <c r="A513">
        <v>2024</v>
      </c>
      <c r="B513" t="s">
        <v>13</v>
      </c>
      <c r="C513" t="s">
        <v>20</v>
      </c>
      <c r="D513" t="s">
        <v>27</v>
      </c>
      <c r="E513">
        <v>354</v>
      </c>
      <c r="F513">
        <v>1299</v>
      </c>
      <c r="G513">
        <v>459846</v>
      </c>
      <c r="H513">
        <v>57185</v>
      </c>
    </row>
    <row r="514" spans="1:8" x14ac:dyDescent="0.25">
      <c r="A514">
        <v>2024</v>
      </c>
      <c r="B514" t="s">
        <v>13</v>
      </c>
      <c r="C514" t="s">
        <v>20</v>
      </c>
      <c r="D514" t="s">
        <v>28</v>
      </c>
      <c r="E514">
        <v>235</v>
      </c>
      <c r="F514">
        <v>1299</v>
      </c>
      <c r="G514">
        <v>305265</v>
      </c>
      <c r="H514">
        <v>37677</v>
      </c>
    </row>
    <row r="515" spans="1:8" x14ac:dyDescent="0.25">
      <c r="A515">
        <v>2024</v>
      </c>
      <c r="B515" t="s">
        <v>13</v>
      </c>
      <c r="C515" t="s">
        <v>20</v>
      </c>
      <c r="D515" t="s">
        <v>29</v>
      </c>
      <c r="E515">
        <v>95</v>
      </c>
      <c r="F515">
        <v>1369</v>
      </c>
      <c r="G515">
        <v>130055</v>
      </c>
      <c r="H515">
        <v>17986</v>
      </c>
    </row>
    <row r="516" spans="1:8" x14ac:dyDescent="0.25">
      <c r="A516">
        <v>2024</v>
      </c>
      <c r="B516" t="s">
        <v>13</v>
      </c>
      <c r="C516" t="s">
        <v>20</v>
      </c>
      <c r="D516" t="s">
        <v>30</v>
      </c>
      <c r="E516">
        <v>307</v>
      </c>
      <c r="F516">
        <v>1331</v>
      </c>
      <c r="G516">
        <v>408617</v>
      </c>
      <c r="H516">
        <v>98759</v>
      </c>
    </row>
    <row r="517" spans="1:8" x14ac:dyDescent="0.25">
      <c r="A517">
        <v>2024</v>
      </c>
      <c r="B517" t="s">
        <v>13</v>
      </c>
      <c r="C517" t="s">
        <v>21</v>
      </c>
      <c r="D517" t="s">
        <v>26</v>
      </c>
      <c r="E517">
        <v>218</v>
      </c>
      <c r="F517">
        <v>768</v>
      </c>
      <c r="G517">
        <v>167424</v>
      </c>
      <c r="H517">
        <v>37608</v>
      </c>
    </row>
    <row r="518" spans="1:8" x14ac:dyDescent="0.25">
      <c r="A518">
        <v>2024</v>
      </c>
      <c r="B518" t="s">
        <v>13</v>
      </c>
      <c r="C518" t="s">
        <v>21</v>
      </c>
      <c r="D518" t="s">
        <v>27</v>
      </c>
      <c r="E518">
        <v>432</v>
      </c>
      <c r="F518">
        <v>834</v>
      </c>
      <c r="G518">
        <v>360288</v>
      </c>
      <c r="H518">
        <v>37671</v>
      </c>
    </row>
    <row r="519" spans="1:8" x14ac:dyDescent="0.25">
      <c r="A519">
        <v>2024</v>
      </c>
      <c r="B519" t="s">
        <v>13</v>
      </c>
      <c r="C519" t="s">
        <v>21</v>
      </c>
      <c r="D519" t="s">
        <v>28</v>
      </c>
      <c r="E519">
        <v>431</v>
      </c>
      <c r="F519">
        <v>903</v>
      </c>
      <c r="G519">
        <v>389193</v>
      </c>
      <c r="H519">
        <v>73982</v>
      </c>
    </row>
    <row r="520" spans="1:8" x14ac:dyDescent="0.25">
      <c r="A520">
        <v>2024</v>
      </c>
      <c r="B520" t="s">
        <v>13</v>
      </c>
      <c r="C520" t="s">
        <v>21</v>
      </c>
      <c r="D520" t="s">
        <v>29</v>
      </c>
      <c r="E520">
        <v>414</v>
      </c>
      <c r="F520">
        <v>851</v>
      </c>
      <c r="G520">
        <v>352314</v>
      </c>
      <c r="H520">
        <v>56045</v>
      </c>
    </row>
    <row r="521" spans="1:8" x14ac:dyDescent="0.25">
      <c r="A521">
        <v>2024</v>
      </c>
      <c r="B521" t="s">
        <v>13</v>
      </c>
      <c r="C521" t="s">
        <v>21</v>
      </c>
      <c r="D521" t="s">
        <v>30</v>
      </c>
      <c r="E521">
        <v>167</v>
      </c>
      <c r="F521">
        <v>835</v>
      </c>
      <c r="G521">
        <v>139445</v>
      </c>
      <c r="H521">
        <v>21235</v>
      </c>
    </row>
    <row r="522" spans="1:8" x14ac:dyDescent="0.25">
      <c r="A522">
        <v>2024</v>
      </c>
      <c r="B522" t="s">
        <v>13</v>
      </c>
      <c r="C522" t="s">
        <v>22</v>
      </c>
      <c r="D522" t="s">
        <v>26</v>
      </c>
      <c r="E522">
        <v>306</v>
      </c>
      <c r="F522">
        <v>109</v>
      </c>
      <c r="G522">
        <v>33354</v>
      </c>
      <c r="H522">
        <v>8224</v>
      </c>
    </row>
    <row r="523" spans="1:8" x14ac:dyDescent="0.25">
      <c r="A523">
        <v>2024</v>
      </c>
      <c r="B523" t="s">
        <v>13</v>
      </c>
      <c r="C523" t="s">
        <v>22</v>
      </c>
      <c r="D523" t="s">
        <v>27</v>
      </c>
      <c r="E523">
        <v>280</v>
      </c>
      <c r="F523">
        <v>137</v>
      </c>
      <c r="G523">
        <v>38360</v>
      </c>
      <c r="H523">
        <v>8165</v>
      </c>
    </row>
    <row r="524" spans="1:8" x14ac:dyDescent="0.25">
      <c r="A524">
        <v>2024</v>
      </c>
      <c r="B524" t="s">
        <v>13</v>
      </c>
      <c r="C524" t="s">
        <v>22</v>
      </c>
      <c r="D524" t="s">
        <v>28</v>
      </c>
      <c r="E524">
        <v>366</v>
      </c>
      <c r="F524">
        <v>125</v>
      </c>
      <c r="G524">
        <v>45750</v>
      </c>
      <c r="H524">
        <v>9642</v>
      </c>
    </row>
    <row r="525" spans="1:8" x14ac:dyDescent="0.25">
      <c r="A525">
        <v>2024</v>
      </c>
      <c r="B525" t="s">
        <v>13</v>
      </c>
      <c r="C525" t="s">
        <v>22</v>
      </c>
      <c r="D525" t="s">
        <v>29</v>
      </c>
      <c r="E525">
        <v>200</v>
      </c>
      <c r="F525">
        <v>120</v>
      </c>
      <c r="G525">
        <v>24000</v>
      </c>
      <c r="H525">
        <v>3577</v>
      </c>
    </row>
    <row r="526" spans="1:8" x14ac:dyDescent="0.25">
      <c r="A526">
        <v>2024</v>
      </c>
      <c r="B526" t="s">
        <v>13</v>
      </c>
      <c r="C526" t="s">
        <v>22</v>
      </c>
      <c r="D526" t="s">
        <v>30</v>
      </c>
      <c r="E526">
        <v>204</v>
      </c>
      <c r="F526">
        <v>121</v>
      </c>
      <c r="G526">
        <v>24684</v>
      </c>
      <c r="H526">
        <v>5805</v>
      </c>
    </row>
    <row r="527" spans="1:8" x14ac:dyDescent="0.25">
      <c r="A527">
        <v>2024</v>
      </c>
      <c r="B527" t="s">
        <v>13</v>
      </c>
      <c r="C527" t="s">
        <v>23</v>
      </c>
      <c r="D527" t="s">
        <v>26</v>
      </c>
      <c r="E527">
        <v>405</v>
      </c>
      <c r="F527">
        <v>605</v>
      </c>
      <c r="G527">
        <v>245025</v>
      </c>
      <c r="H527">
        <v>54560</v>
      </c>
    </row>
    <row r="528" spans="1:8" x14ac:dyDescent="0.25">
      <c r="A528">
        <v>2024</v>
      </c>
      <c r="B528" t="s">
        <v>13</v>
      </c>
      <c r="C528" t="s">
        <v>23</v>
      </c>
      <c r="D528" t="s">
        <v>27</v>
      </c>
      <c r="E528">
        <v>440</v>
      </c>
      <c r="F528">
        <v>637</v>
      </c>
      <c r="G528">
        <v>280280</v>
      </c>
      <c r="H528">
        <v>41833</v>
      </c>
    </row>
    <row r="529" spans="1:8" x14ac:dyDescent="0.25">
      <c r="A529">
        <v>2024</v>
      </c>
      <c r="B529" t="s">
        <v>13</v>
      </c>
      <c r="C529" t="s">
        <v>23</v>
      </c>
      <c r="D529" t="s">
        <v>28</v>
      </c>
      <c r="E529">
        <v>162</v>
      </c>
      <c r="F529">
        <v>594</v>
      </c>
      <c r="G529">
        <v>96228</v>
      </c>
      <c r="H529">
        <v>15341</v>
      </c>
    </row>
    <row r="530" spans="1:8" x14ac:dyDescent="0.25">
      <c r="A530">
        <v>2024</v>
      </c>
      <c r="B530" t="s">
        <v>13</v>
      </c>
      <c r="C530" t="s">
        <v>23</v>
      </c>
      <c r="D530" t="s">
        <v>29</v>
      </c>
      <c r="E530">
        <v>447</v>
      </c>
      <c r="F530">
        <v>622</v>
      </c>
      <c r="G530">
        <v>278034</v>
      </c>
      <c r="H530">
        <v>52679</v>
      </c>
    </row>
    <row r="531" spans="1:8" x14ac:dyDescent="0.25">
      <c r="A531">
        <v>2024</v>
      </c>
      <c r="B531" t="s">
        <v>13</v>
      </c>
      <c r="C531" t="s">
        <v>23</v>
      </c>
      <c r="D531" t="s">
        <v>30</v>
      </c>
      <c r="E531">
        <v>342</v>
      </c>
      <c r="F531">
        <v>595</v>
      </c>
      <c r="G531">
        <v>203490</v>
      </c>
      <c r="H531">
        <v>27286</v>
      </c>
    </row>
    <row r="532" spans="1:8" x14ac:dyDescent="0.25">
      <c r="A532">
        <v>2024</v>
      </c>
      <c r="B532" t="s">
        <v>13</v>
      </c>
      <c r="C532" t="s">
        <v>24</v>
      </c>
      <c r="D532" t="s">
        <v>26</v>
      </c>
      <c r="E532">
        <v>391</v>
      </c>
      <c r="F532">
        <v>262</v>
      </c>
      <c r="G532">
        <v>102442</v>
      </c>
      <c r="H532">
        <v>20512</v>
      </c>
    </row>
    <row r="533" spans="1:8" x14ac:dyDescent="0.25">
      <c r="A533">
        <v>2024</v>
      </c>
      <c r="B533" t="s">
        <v>13</v>
      </c>
      <c r="C533" t="s">
        <v>24</v>
      </c>
      <c r="D533" t="s">
        <v>27</v>
      </c>
      <c r="E533">
        <v>389</v>
      </c>
      <c r="F533">
        <v>248</v>
      </c>
      <c r="G533">
        <v>96472</v>
      </c>
      <c r="H533">
        <v>22140</v>
      </c>
    </row>
    <row r="534" spans="1:8" x14ac:dyDescent="0.25">
      <c r="A534">
        <v>2024</v>
      </c>
      <c r="B534" t="s">
        <v>13</v>
      </c>
      <c r="C534" t="s">
        <v>24</v>
      </c>
      <c r="D534" t="s">
        <v>28</v>
      </c>
      <c r="E534">
        <v>433</v>
      </c>
      <c r="F534">
        <v>277</v>
      </c>
      <c r="G534">
        <v>119941</v>
      </c>
      <c r="H534">
        <v>28442</v>
      </c>
    </row>
    <row r="535" spans="1:8" x14ac:dyDescent="0.25">
      <c r="A535">
        <v>2024</v>
      </c>
      <c r="B535" t="s">
        <v>13</v>
      </c>
      <c r="C535" t="s">
        <v>24</v>
      </c>
      <c r="D535" t="s">
        <v>29</v>
      </c>
      <c r="E535">
        <v>339</v>
      </c>
      <c r="F535">
        <v>246</v>
      </c>
      <c r="G535">
        <v>83394</v>
      </c>
      <c r="H535">
        <v>13095</v>
      </c>
    </row>
    <row r="536" spans="1:8" x14ac:dyDescent="0.25">
      <c r="A536">
        <v>2024</v>
      </c>
      <c r="B536" t="s">
        <v>13</v>
      </c>
      <c r="C536" t="s">
        <v>24</v>
      </c>
      <c r="D536" t="s">
        <v>30</v>
      </c>
      <c r="E536">
        <v>433</v>
      </c>
      <c r="F536">
        <v>261</v>
      </c>
      <c r="G536">
        <v>113013</v>
      </c>
      <c r="H536">
        <v>20346</v>
      </c>
    </row>
    <row r="537" spans="1:8" x14ac:dyDescent="0.25">
      <c r="A537">
        <v>2024</v>
      </c>
      <c r="B537" t="s">
        <v>13</v>
      </c>
      <c r="C537" t="s">
        <v>25</v>
      </c>
      <c r="D537" t="s">
        <v>26</v>
      </c>
      <c r="E537">
        <v>396</v>
      </c>
      <c r="F537">
        <v>349</v>
      </c>
      <c r="G537">
        <v>138204</v>
      </c>
      <c r="H537">
        <v>25210</v>
      </c>
    </row>
    <row r="538" spans="1:8" x14ac:dyDescent="0.25">
      <c r="A538">
        <v>2024</v>
      </c>
      <c r="B538" t="s">
        <v>13</v>
      </c>
      <c r="C538" t="s">
        <v>25</v>
      </c>
      <c r="D538" t="s">
        <v>27</v>
      </c>
      <c r="E538">
        <v>431</v>
      </c>
      <c r="F538">
        <v>377</v>
      </c>
      <c r="G538">
        <v>162487</v>
      </c>
      <c r="H538">
        <v>39537</v>
      </c>
    </row>
    <row r="539" spans="1:8" x14ac:dyDescent="0.25">
      <c r="A539">
        <v>2024</v>
      </c>
      <c r="B539" t="s">
        <v>13</v>
      </c>
      <c r="C539" t="s">
        <v>25</v>
      </c>
      <c r="D539" t="s">
        <v>28</v>
      </c>
      <c r="E539">
        <v>113</v>
      </c>
      <c r="F539">
        <v>332</v>
      </c>
      <c r="G539">
        <v>37516</v>
      </c>
      <c r="H539">
        <v>3794</v>
      </c>
    </row>
    <row r="540" spans="1:8" x14ac:dyDescent="0.25">
      <c r="A540">
        <v>2024</v>
      </c>
      <c r="B540" t="s">
        <v>13</v>
      </c>
      <c r="C540" t="s">
        <v>25</v>
      </c>
      <c r="D540" t="s">
        <v>29</v>
      </c>
      <c r="E540">
        <v>432</v>
      </c>
      <c r="F540">
        <v>321</v>
      </c>
      <c r="G540">
        <v>138672</v>
      </c>
      <c r="H540">
        <v>33724</v>
      </c>
    </row>
    <row r="541" spans="1:8" x14ac:dyDescent="0.25">
      <c r="A541">
        <v>2024</v>
      </c>
      <c r="B541" t="s">
        <v>13</v>
      </c>
      <c r="C541" t="s">
        <v>25</v>
      </c>
      <c r="D541" t="s">
        <v>30</v>
      </c>
      <c r="E541">
        <v>419</v>
      </c>
      <c r="F541">
        <v>396</v>
      </c>
      <c r="G541">
        <v>165924</v>
      </c>
      <c r="H541">
        <v>18092</v>
      </c>
    </row>
    <row r="542" spans="1:8" x14ac:dyDescent="0.25">
      <c r="A542">
        <v>2024</v>
      </c>
      <c r="B542" t="s">
        <v>14</v>
      </c>
      <c r="C542" t="s">
        <v>20</v>
      </c>
      <c r="D542" t="s">
        <v>26</v>
      </c>
      <c r="E542">
        <v>392</v>
      </c>
      <c r="F542">
        <v>1223</v>
      </c>
      <c r="G542">
        <v>479416</v>
      </c>
      <c r="H542">
        <v>61932</v>
      </c>
    </row>
    <row r="543" spans="1:8" x14ac:dyDescent="0.25">
      <c r="A543">
        <v>2024</v>
      </c>
      <c r="B543" t="s">
        <v>14</v>
      </c>
      <c r="C543" t="s">
        <v>20</v>
      </c>
      <c r="D543" t="s">
        <v>27</v>
      </c>
      <c r="E543">
        <v>144</v>
      </c>
      <c r="F543">
        <v>1281</v>
      </c>
      <c r="G543">
        <v>184464</v>
      </c>
      <c r="H543">
        <v>44168</v>
      </c>
    </row>
    <row r="544" spans="1:8" x14ac:dyDescent="0.25">
      <c r="A544">
        <v>2024</v>
      </c>
      <c r="B544" t="s">
        <v>14</v>
      </c>
      <c r="C544" t="s">
        <v>20</v>
      </c>
      <c r="D544" t="s">
        <v>28</v>
      </c>
      <c r="E544">
        <v>259</v>
      </c>
      <c r="F544">
        <v>1241</v>
      </c>
      <c r="G544">
        <v>321419</v>
      </c>
      <c r="H544">
        <v>47150</v>
      </c>
    </row>
    <row r="545" spans="1:8" x14ac:dyDescent="0.25">
      <c r="A545">
        <v>2024</v>
      </c>
      <c r="B545" t="s">
        <v>14</v>
      </c>
      <c r="C545" t="s">
        <v>20</v>
      </c>
      <c r="D545" t="s">
        <v>29</v>
      </c>
      <c r="E545">
        <v>261</v>
      </c>
      <c r="F545">
        <v>1294</v>
      </c>
      <c r="G545">
        <v>337734</v>
      </c>
      <c r="H545">
        <v>47584</v>
      </c>
    </row>
    <row r="546" spans="1:8" x14ac:dyDescent="0.25">
      <c r="A546">
        <v>2024</v>
      </c>
      <c r="B546" t="s">
        <v>14</v>
      </c>
      <c r="C546" t="s">
        <v>20</v>
      </c>
      <c r="D546" t="s">
        <v>30</v>
      </c>
      <c r="E546">
        <v>232</v>
      </c>
      <c r="F546">
        <v>1326</v>
      </c>
      <c r="G546">
        <v>307632</v>
      </c>
      <c r="H546">
        <v>54872</v>
      </c>
    </row>
    <row r="547" spans="1:8" x14ac:dyDescent="0.25">
      <c r="A547">
        <v>2024</v>
      </c>
      <c r="B547" t="s">
        <v>14</v>
      </c>
      <c r="C547" t="s">
        <v>21</v>
      </c>
      <c r="D547" t="s">
        <v>26</v>
      </c>
      <c r="E547">
        <v>377</v>
      </c>
      <c r="F547">
        <v>856</v>
      </c>
      <c r="G547">
        <v>322712</v>
      </c>
      <c r="H547">
        <v>41054</v>
      </c>
    </row>
    <row r="548" spans="1:8" x14ac:dyDescent="0.25">
      <c r="A548">
        <v>2024</v>
      </c>
      <c r="B548" t="s">
        <v>14</v>
      </c>
      <c r="C548" t="s">
        <v>21</v>
      </c>
      <c r="D548" t="s">
        <v>27</v>
      </c>
      <c r="E548">
        <v>262</v>
      </c>
      <c r="F548">
        <v>861</v>
      </c>
      <c r="G548">
        <v>225582</v>
      </c>
      <c r="H548">
        <v>26174</v>
      </c>
    </row>
    <row r="549" spans="1:8" x14ac:dyDescent="0.25">
      <c r="A549">
        <v>2024</v>
      </c>
      <c r="B549" t="s">
        <v>14</v>
      </c>
      <c r="C549" t="s">
        <v>21</v>
      </c>
      <c r="D549" t="s">
        <v>28</v>
      </c>
      <c r="E549">
        <v>416</v>
      </c>
      <c r="F549">
        <v>903</v>
      </c>
      <c r="G549">
        <v>375648</v>
      </c>
      <c r="H549">
        <v>61485</v>
      </c>
    </row>
    <row r="550" spans="1:8" x14ac:dyDescent="0.25">
      <c r="A550">
        <v>2024</v>
      </c>
      <c r="B550" t="s">
        <v>14</v>
      </c>
      <c r="C550" t="s">
        <v>21</v>
      </c>
      <c r="D550" t="s">
        <v>29</v>
      </c>
      <c r="E550">
        <v>377</v>
      </c>
      <c r="F550">
        <v>883</v>
      </c>
      <c r="G550">
        <v>332891</v>
      </c>
      <c r="H550">
        <v>51939</v>
      </c>
    </row>
    <row r="551" spans="1:8" x14ac:dyDescent="0.25">
      <c r="A551">
        <v>2024</v>
      </c>
      <c r="B551" t="s">
        <v>14</v>
      </c>
      <c r="C551" t="s">
        <v>21</v>
      </c>
      <c r="D551" t="s">
        <v>30</v>
      </c>
      <c r="E551">
        <v>278</v>
      </c>
      <c r="F551">
        <v>846</v>
      </c>
      <c r="G551">
        <v>235188</v>
      </c>
      <c r="H551">
        <v>57082</v>
      </c>
    </row>
    <row r="552" spans="1:8" x14ac:dyDescent="0.25">
      <c r="A552">
        <v>2024</v>
      </c>
      <c r="B552" t="s">
        <v>14</v>
      </c>
      <c r="C552" t="s">
        <v>22</v>
      </c>
      <c r="D552" t="s">
        <v>26</v>
      </c>
      <c r="E552">
        <v>217</v>
      </c>
      <c r="F552">
        <v>123</v>
      </c>
      <c r="G552">
        <v>26691</v>
      </c>
      <c r="H552">
        <v>5045</v>
      </c>
    </row>
    <row r="553" spans="1:8" x14ac:dyDescent="0.25">
      <c r="A553">
        <v>2024</v>
      </c>
      <c r="B553" t="s">
        <v>14</v>
      </c>
      <c r="C553" t="s">
        <v>22</v>
      </c>
      <c r="D553" t="s">
        <v>27</v>
      </c>
      <c r="E553">
        <v>115</v>
      </c>
      <c r="F553">
        <v>114</v>
      </c>
      <c r="G553">
        <v>13110</v>
      </c>
      <c r="H553">
        <v>2512</v>
      </c>
    </row>
    <row r="554" spans="1:8" x14ac:dyDescent="0.25">
      <c r="A554">
        <v>2024</v>
      </c>
      <c r="B554" t="s">
        <v>14</v>
      </c>
      <c r="C554" t="s">
        <v>22</v>
      </c>
      <c r="D554" t="s">
        <v>28</v>
      </c>
      <c r="E554">
        <v>220</v>
      </c>
      <c r="F554">
        <v>133</v>
      </c>
      <c r="G554">
        <v>29260</v>
      </c>
      <c r="H554">
        <v>6876</v>
      </c>
    </row>
    <row r="555" spans="1:8" x14ac:dyDescent="0.25">
      <c r="A555">
        <v>2024</v>
      </c>
      <c r="B555" t="s">
        <v>14</v>
      </c>
      <c r="C555" t="s">
        <v>22</v>
      </c>
      <c r="D555" t="s">
        <v>29</v>
      </c>
      <c r="E555">
        <v>316</v>
      </c>
      <c r="F555">
        <v>124</v>
      </c>
      <c r="G555">
        <v>39184</v>
      </c>
      <c r="H555">
        <v>5420</v>
      </c>
    </row>
    <row r="556" spans="1:8" x14ac:dyDescent="0.25">
      <c r="A556">
        <v>2024</v>
      </c>
      <c r="B556" t="s">
        <v>14</v>
      </c>
      <c r="C556" t="s">
        <v>22</v>
      </c>
      <c r="D556" t="s">
        <v>30</v>
      </c>
      <c r="E556">
        <v>162</v>
      </c>
      <c r="F556">
        <v>116</v>
      </c>
      <c r="G556">
        <v>18792</v>
      </c>
      <c r="H556">
        <v>4197</v>
      </c>
    </row>
    <row r="557" spans="1:8" x14ac:dyDescent="0.25">
      <c r="A557">
        <v>2024</v>
      </c>
      <c r="B557" t="s">
        <v>14</v>
      </c>
      <c r="C557" t="s">
        <v>23</v>
      </c>
      <c r="D557" t="s">
        <v>26</v>
      </c>
      <c r="E557">
        <v>153</v>
      </c>
      <c r="F557">
        <v>640</v>
      </c>
      <c r="G557">
        <v>97920</v>
      </c>
      <c r="H557">
        <v>21682</v>
      </c>
    </row>
    <row r="558" spans="1:8" x14ac:dyDescent="0.25">
      <c r="A558">
        <v>2024</v>
      </c>
      <c r="B558" t="s">
        <v>14</v>
      </c>
      <c r="C558" t="s">
        <v>23</v>
      </c>
      <c r="D558" t="s">
        <v>27</v>
      </c>
      <c r="E558">
        <v>268</v>
      </c>
      <c r="F558">
        <v>562</v>
      </c>
      <c r="G558">
        <v>150616</v>
      </c>
      <c r="H558">
        <v>24639</v>
      </c>
    </row>
    <row r="559" spans="1:8" x14ac:dyDescent="0.25">
      <c r="A559">
        <v>2024</v>
      </c>
      <c r="B559" t="s">
        <v>14</v>
      </c>
      <c r="C559" t="s">
        <v>23</v>
      </c>
      <c r="D559" t="s">
        <v>28</v>
      </c>
      <c r="E559">
        <v>163</v>
      </c>
      <c r="F559">
        <v>565</v>
      </c>
      <c r="G559">
        <v>92095</v>
      </c>
      <c r="H559">
        <v>19388</v>
      </c>
    </row>
    <row r="560" spans="1:8" x14ac:dyDescent="0.25">
      <c r="A560">
        <v>2024</v>
      </c>
      <c r="B560" t="s">
        <v>14</v>
      </c>
      <c r="C560" t="s">
        <v>23</v>
      </c>
      <c r="D560" t="s">
        <v>29</v>
      </c>
      <c r="E560">
        <v>336</v>
      </c>
      <c r="F560">
        <v>610</v>
      </c>
      <c r="G560">
        <v>204960</v>
      </c>
      <c r="H560">
        <v>36955</v>
      </c>
    </row>
    <row r="561" spans="1:8" x14ac:dyDescent="0.25">
      <c r="A561">
        <v>2024</v>
      </c>
      <c r="B561" t="s">
        <v>14</v>
      </c>
      <c r="C561" t="s">
        <v>23</v>
      </c>
      <c r="D561" t="s">
        <v>30</v>
      </c>
      <c r="E561">
        <v>252</v>
      </c>
      <c r="F561">
        <v>543</v>
      </c>
      <c r="G561">
        <v>136836</v>
      </c>
      <c r="H561">
        <v>26860</v>
      </c>
    </row>
    <row r="562" spans="1:8" x14ac:dyDescent="0.25">
      <c r="A562">
        <v>2024</v>
      </c>
      <c r="B562" t="s">
        <v>14</v>
      </c>
      <c r="C562" t="s">
        <v>24</v>
      </c>
      <c r="D562" t="s">
        <v>26</v>
      </c>
      <c r="E562">
        <v>263</v>
      </c>
      <c r="F562">
        <v>264</v>
      </c>
      <c r="G562">
        <v>69432</v>
      </c>
      <c r="H562">
        <v>9618</v>
      </c>
    </row>
    <row r="563" spans="1:8" x14ac:dyDescent="0.25">
      <c r="A563">
        <v>2024</v>
      </c>
      <c r="B563" t="s">
        <v>14</v>
      </c>
      <c r="C563" t="s">
        <v>24</v>
      </c>
      <c r="D563" t="s">
        <v>27</v>
      </c>
      <c r="E563">
        <v>172</v>
      </c>
      <c r="F563">
        <v>262</v>
      </c>
      <c r="G563">
        <v>45064</v>
      </c>
      <c r="H563">
        <v>7864</v>
      </c>
    </row>
    <row r="564" spans="1:8" x14ac:dyDescent="0.25">
      <c r="A564">
        <v>2024</v>
      </c>
      <c r="B564" t="s">
        <v>14</v>
      </c>
      <c r="C564" t="s">
        <v>24</v>
      </c>
      <c r="D564" t="s">
        <v>28</v>
      </c>
      <c r="E564">
        <v>371</v>
      </c>
      <c r="F564">
        <v>242</v>
      </c>
      <c r="G564">
        <v>89782</v>
      </c>
      <c r="H564">
        <v>17018</v>
      </c>
    </row>
    <row r="565" spans="1:8" x14ac:dyDescent="0.25">
      <c r="A565">
        <v>2024</v>
      </c>
      <c r="B565" t="s">
        <v>14</v>
      </c>
      <c r="C565" t="s">
        <v>24</v>
      </c>
      <c r="D565" t="s">
        <v>29</v>
      </c>
      <c r="E565">
        <v>248</v>
      </c>
      <c r="F565">
        <v>250</v>
      </c>
      <c r="G565">
        <v>62000</v>
      </c>
      <c r="H565">
        <v>10182</v>
      </c>
    </row>
    <row r="566" spans="1:8" x14ac:dyDescent="0.25">
      <c r="A566">
        <v>2024</v>
      </c>
      <c r="B566" t="s">
        <v>14</v>
      </c>
      <c r="C566" t="s">
        <v>24</v>
      </c>
      <c r="D566" t="s">
        <v>30</v>
      </c>
      <c r="E566">
        <v>271</v>
      </c>
      <c r="F566">
        <v>270</v>
      </c>
      <c r="G566">
        <v>73170</v>
      </c>
      <c r="H566">
        <v>7490</v>
      </c>
    </row>
    <row r="567" spans="1:8" x14ac:dyDescent="0.25">
      <c r="A567">
        <v>2024</v>
      </c>
      <c r="B567" t="s">
        <v>14</v>
      </c>
      <c r="C567" t="s">
        <v>25</v>
      </c>
      <c r="D567" t="s">
        <v>26</v>
      </c>
      <c r="E567">
        <v>396</v>
      </c>
      <c r="F567">
        <v>326</v>
      </c>
      <c r="G567">
        <v>129096</v>
      </c>
      <c r="H567">
        <v>14925</v>
      </c>
    </row>
    <row r="568" spans="1:8" x14ac:dyDescent="0.25">
      <c r="A568">
        <v>2024</v>
      </c>
      <c r="B568" t="s">
        <v>14</v>
      </c>
      <c r="C568" t="s">
        <v>25</v>
      </c>
      <c r="D568" t="s">
        <v>27</v>
      </c>
      <c r="E568">
        <v>327</v>
      </c>
      <c r="F568">
        <v>344</v>
      </c>
      <c r="G568">
        <v>112488</v>
      </c>
      <c r="H568">
        <v>26527</v>
      </c>
    </row>
    <row r="569" spans="1:8" x14ac:dyDescent="0.25">
      <c r="A569">
        <v>2024</v>
      </c>
      <c r="B569" t="s">
        <v>14</v>
      </c>
      <c r="C569" t="s">
        <v>25</v>
      </c>
      <c r="D569" t="s">
        <v>28</v>
      </c>
      <c r="E569">
        <v>207</v>
      </c>
      <c r="F569">
        <v>321</v>
      </c>
      <c r="G569">
        <v>66447</v>
      </c>
      <c r="H569">
        <v>7498</v>
      </c>
    </row>
    <row r="570" spans="1:8" x14ac:dyDescent="0.25">
      <c r="A570">
        <v>2024</v>
      </c>
      <c r="B570" t="s">
        <v>14</v>
      </c>
      <c r="C570" t="s">
        <v>25</v>
      </c>
      <c r="D570" t="s">
        <v>29</v>
      </c>
      <c r="E570">
        <v>268</v>
      </c>
      <c r="F570">
        <v>331</v>
      </c>
      <c r="G570">
        <v>88708</v>
      </c>
      <c r="H570">
        <v>13173</v>
      </c>
    </row>
    <row r="571" spans="1:8" x14ac:dyDescent="0.25">
      <c r="A571">
        <v>2024</v>
      </c>
      <c r="B571" t="s">
        <v>14</v>
      </c>
      <c r="C571" t="s">
        <v>25</v>
      </c>
      <c r="D571" t="s">
        <v>30</v>
      </c>
      <c r="E571">
        <v>164</v>
      </c>
      <c r="F571">
        <v>346</v>
      </c>
      <c r="G571">
        <v>56744</v>
      </c>
      <c r="H571">
        <v>6265</v>
      </c>
    </row>
    <row r="572" spans="1:8" x14ac:dyDescent="0.25">
      <c r="A572">
        <v>2024</v>
      </c>
      <c r="B572" t="s">
        <v>15</v>
      </c>
      <c r="C572" t="s">
        <v>20</v>
      </c>
      <c r="D572" t="s">
        <v>26</v>
      </c>
      <c r="E572">
        <v>138</v>
      </c>
      <c r="F572">
        <v>1329</v>
      </c>
      <c r="G572">
        <v>183402</v>
      </c>
      <c r="H572">
        <v>36761</v>
      </c>
    </row>
    <row r="573" spans="1:8" x14ac:dyDescent="0.25">
      <c r="A573">
        <v>2024</v>
      </c>
      <c r="B573" t="s">
        <v>15</v>
      </c>
      <c r="C573" t="s">
        <v>20</v>
      </c>
      <c r="D573" t="s">
        <v>27</v>
      </c>
      <c r="E573">
        <v>114</v>
      </c>
      <c r="F573">
        <v>1272</v>
      </c>
      <c r="G573">
        <v>145008</v>
      </c>
      <c r="H573">
        <v>20398</v>
      </c>
    </row>
    <row r="574" spans="1:8" x14ac:dyDescent="0.25">
      <c r="A574">
        <v>2024</v>
      </c>
      <c r="B574" t="s">
        <v>15</v>
      </c>
      <c r="C574" t="s">
        <v>20</v>
      </c>
      <c r="D574" t="s">
        <v>28</v>
      </c>
      <c r="E574">
        <v>302</v>
      </c>
      <c r="F574">
        <v>1275</v>
      </c>
      <c r="G574">
        <v>385050</v>
      </c>
      <c r="H574">
        <v>69287</v>
      </c>
    </row>
    <row r="575" spans="1:8" x14ac:dyDescent="0.25">
      <c r="A575">
        <v>2024</v>
      </c>
      <c r="B575" t="s">
        <v>15</v>
      </c>
      <c r="C575" t="s">
        <v>20</v>
      </c>
      <c r="D575" t="s">
        <v>29</v>
      </c>
      <c r="E575">
        <v>148</v>
      </c>
      <c r="F575">
        <v>1179</v>
      </c>
      <c r="G575">
        <v>174492</v>
      </c>
      <c r="H575">
        <v>34972</v>
      </c>
    </row>
    <row r="576" spans="1:8" x14ac:dyDescent="0.25">
      <c r="A576">
        <v>2024</v>
      </c>
      <c r="B576" t="s">
        <v>15</v>
      </c>
      <c r="C576" t="s">
        <v>20</v>
      </c>
      <c r="D576" t="s">
        <v>30</v>
      </c>
      <c r="E576">
        <v>318</v>
      </c>
      <c r="F576">
        <v>1193</v>
      </c>
      <c r="G576">
        <v>379374</v>
      </c>
      <c r="H576">
        <v>58591</v>
      </c>
    </row>
    <row r="577" spans="1:8" x14ac:dyDescent="0.25">
      <c r="A577">
        <v>2024</v>
      </c>
      <c r="B577" t="s">
        <v>15</v>
      </c>
      <c r="C577" t="s">
        <v>21</v>
      </c>
      <c r="D577" t="s">
        <v>26</v>
      </c>
      <c r="E577">
        <v>400</v>
      </c>
      <c r="F577">
        <v>866</v>
      </c>
      <c r="G577">
        <v>346400</v>
      </c>
      <c r="H577">
        <v>58812</v>
      </c>
    </row>
    <row r="578" spans="1:8" x14ac:dyDescent="0.25">
      <c r="A578">
        <v>2024</v>
      </c>
      <c r="B578" t="s">
        <v>15</v>
      </c>
      <c r="C578" t="s">
        <v>21</v>
      </c>
      <c r="D578" t="s">
        <v>27</v>
      </c>
      <c r="E578">
        <v>371</v>
      </c>
      <c r="F578">
        <v>836</v>
      </c>
      <c r="G578">
        <v>310156</v>
      </c>
      <c r="H578">
        <v>35145</v>
      </c>
    </row>
    <row r="579" spans="1:8" x14ac:dyDescent="0.25">
      <c r="A579">
        <v>2024</v>
      </c>
      <c r="B579" t="s">
        <v>15</v>
      </c>
      <c r="C579" t="s">
        <v>21</v>
      </c>
      <c r="D579" t="s">
        <v>28</v>
      </c>
      <c r="E579">
        <v>396</v>
      </c>
      <c r="F579">
        <v>870</v>
      </c>
      <c r="G579">
        <v>344520</v>
      </c>
      <c r="H579">
        <v>43261</v>
      </c>
    </row>
    <row r="580" spans="1:8" x14ac:dyDescent="0.25">
      <c r="A580">
        <v>2024</v>
      </c>
      <c r="B580" t="s">
        <v>15</v>
      </c>
      <c r="C580" t="s">
        <v>21</v>
      </c>
      <c r="D580" t="s">
        <v>29</v>
      </c>
      <c r="E580">
        <v>200</v>
      </c>
      <c r="F580">
        <v>739</v>
      </c>
      <c r="G580">
        <v>147800</v>
      </c>
      <c r="H580">
        <v>24764</v>
      </c>
    </row>
    <row r="581" spans="1:8" x14ac:dyDescent="0.25">
      <c r="A581">
        <v>2024</v>
      </c>
      <c r="B581" t="s">
        <v>15</v>
      </c>
      <c r="C581" t="s">
        <v>21</v>
      </c>
      <c r="D581" t="s">
        <v>30</v>
      </c>
      <c r="E581">
        <v>98</v>
      </c>
      <c r="F581">
        <v>789</v>
      </c>
      <c r="G581">
        <v>77322</v>
      </c>
      <c r="H581">
        <v>15444</v>
      </c>
    </row>
    <row r="582" spans="1:8" x14ac:dyDescent="0.25">
      <c r="A582">
        <v>2024</v>
      </c>
      <c r="B582" t="s">
        <v>15</v>
      </c>
      <c r="C582" t="s">
        <v>22</v>
      </c>
      <c r="D582" t="s">
        <v>26</v>
      </c>
      <c r="E582">
        <v>88</v>
      </c>
      <c r="F582">
        <v>135</v>
      </c>
      <c r="G582">
        <v>11880</v>
      </c>
      <c r="H582">
        <v>1606</v>
      </c>
    </row>
    <row r="583" spans="1:8" x14ac:dyDescent="0.25">
      <c r="A583">
        <v>2024</v>
      </c>
      <c r="B583" t="s">
        <v>15</v>
      </c>
      <c r="C583" t="s">
        <v>22</v>
      </c>
      <c r="D583" t="s">
        <v>27</v>
      </c>
      <c r="E583">
        <v>210</v>
      </c>
      <c r="F583">
        <v>112</v>
      </c>
      <c r="G583">
        <v>23520</v>
      </c>
      <c r="H583">
        <v>5853</v>
      </c>
    </row>
    <row r="584" spans="1:8" x14ac:dyDescent="0.25">
      <c r="A584">
        <v>2024</v>
      </c>
      <c r="B584" t="s">
        <v>15</v>
      </c>
      <c r="C584" t="s">
        <v>22</v>
      </c>
      <c r="D584" t="s">
        <v>28</v>
      </c>
      <c r="E584">
        <v>354</v>
      </c>
      <c r="F584">
        <v>124</v>
      </c>
      <c r="G584">
        <v>43896</v>
      </c>
      <c r="H584">
        <v>9933</v>
      </c>
    </row>
    <row r="585" spans="1:8" x14ac:dyDescent="0.25">
      <c r="A585">
        <v>2024</v>
      </c>
      <c r="B585" t="s">
        <v>15</v>
      </c>
      <c r="C585" t="s">
        <v>22</v>
      </c>
      <c r="D585" t="s">
        <v>29</v>
      </c>
      <c r="E585">
        <v>246</v>
      </c>
      <c r="F585">
        <v>110</v>
      </c>
      <c r="G585">
        <v>27060</v>
      </c>
      <c r="H585">
        <v>3749</v>
      </c>
    </row>
    <row r="586" spans="1:8" x14ac:dyDescent="0.25">
      <c r="A586">
        <v>2024</v>
      </c>
      <c r="B586" t="s">
        <v>15</v>
      </c>
      <c r="C586" t="s">
        <v>22</v>
      </c>
      <c r="D586" t="s">
        <v>30</v>
      </c>
      <c r="E586">
        <v>335</v>
      </c>
      <c r="F586">
        <v>133</v>
      </c>
      <c r="G586">
        <v>44555</v>
      </c>
      <c r="H586">
        <v>8522</v>
      </c>
    </row>
    <row r="587" spans="1:8" x14ac:dyDescent="0.25">
      <c r="A587">
        <v>2024</v>
      </c>
      <c r="B587" t="s">
        <v>15</v>
      </c>
      <c r="C587" t="s">
        <v>23</v>
      </c>
      <c r="D587" t="s">
        <v>26</v>
      </c>
      <c r="E587">
        <v>126</v>
      </c>
      <c r="F587">
        <v>563</v>
      </c>
      <c r="G587">
        <v>70938</v>
      </c>
      <c r="H587">
        <v>7765</v>
      </c>
    </row>
    <row r="588" spans="1:8" x14ac:dyDescent="0.25">
      <c r="A588">
        <v>2024</v>
      </c>
      <c r="B588" t="s">
        <v>15</v>
      </c>
      <c r="C588" t="s">
        <v>23</v>
      </c>
      <c r="D588" t="s">
        <v>27</v>
      </c>
      <c r="E588">
        <v>401</v>
      </c>
      <c r="F588">
        <v>585</v>
      </c>
      <c r="G588">
        <v>234585</v>
      </c>
      <c r="H588">
        <v>32716</v>
      </c>
    </row>
    <row r="589" spans="1:8" x14ac:dyDescent="0.25">
      <c r="A589">
        <v>2024</v>
      </c>
      <c r="B589" t="s">
        <v>15</v>
      </c>
      <c r="C589" t="s">
        <v>23</v>
      </c>
      <c r="D589" t="s">
        <v>28</v>
      </c>
      <c r="E589">
        <v>157</v>
      </c>
      <c r="F589">
        <v>597</v>
      </c>
      <c r="G589">
        <v>93729</v>
      </c>
      <c r="H589">
        <v>14241</v>
      </c>
    </row>
    <row r="590" spans="1:8" x14ac:dyDescent="0.25">
      <c r="A590">
        <v>2024</v>
      </c>
      <c r="B590" t="s">
        <v>15</v>
      </c>
      <c r="C590" t="s">
        <v>23</v>
      </c>
      <c r="D590" t="s">
        <v>29</v>
      </c>
      <c r="E590">
        <v>355</v>
      </c>
      <c r="F590">
        <v>623</v>
      </c>
      <c r="G590">
        <v>221165</v>
      </c>
      <c r="H590">
        <v>32252</v>
      </c>
    </row>
    <row r="591" spans="1:8" x14ac:dyDescent="0.25">
      <c r="A591">
        <v>2024</v>
      </c>
      <c r="B591" t="s">
        <v>15</v>
      </c>
      <c r="C591" t="s">
        <v>23</v>
      </c>
      <c r="D591" t="s">
        <v>30</v>
      </c>
      <c r="E591">
        <v>280</v>
      </c>
      <c r="F591">
        <v>581</v>
      </c>
      <c r="G591">
        <v>162680</v>
      </c>
      <c r="H591">
        <v>39264</v>
      </c>
    </row>
    <row r="592" spans="1:8" x14ac:dyDescent="0.25">
      <c r="A592">
        <v>2024</v>
      </c>
      <c r="B592" t="s">
        <v>15</v>
      </c>
      <c r="C592" t="s">
        <v>24</v>
      </c>
      <c r="D592" t="s">
        <v>26</v>
      </c>
      <c r="E592">
        <v>422</v>
      </c>
      <c r="F592">
        <v>235</v>
      </c>
      <c r="G592">
        <v>99170</v>
      </c>
      <c r="H592">
        <v>21613</v>
      </c>
    </row>
    <row r="593" spans="1:8" x14ac:dyDescent="0.25">
      <c r="A593">
        <v>2024</v>
      </c>
      <c r="B593" t="s">
        <v>15</v>
      </c>
      <c r="C593" t="s">
        <v>24</v>
      </c>
      <c r="D593" t="s">
        <v>27</v>
      </c>
      <c r="E593">
        <v>240</v>
      </c>
      <c r="F593">
        <v>287</v>
      </c>
      <c r="G593">
        <v>68880</v>
      </c>
      <c r="H593">
        <v>15684</v>
      </c>
    </row>
    <row r="594" spans="1:8" x14ac:dyDescent="0.25">
      <c r="A594">
        <v>2024</v>
      </c>
      <c r="B594" t="s">
        <v>15</v>
      </c>
      <c r="C594" t="s">
        <v>24</v>
      </c>
      <c r="D594" t="s">
        <v>28</v>
      </c>
      <c r="E594">
        <v>98</v>
      </c>
      <c r="F594">
        <v>283</v>
      </c>
      <c r="G594">
        <v>27734</v>
      </c>
      <c r="H594">
        <v>3257</v>
      </c>
    </row>
    <row r="595" spans="1:8" x14ac:dyDescent="0.25">
      <c r="A595">
        <v>2024</v>
      </c>
      <c r="B595" t="s">
        <v>15</v>
      </c>
      <c r="C595" t="s">
        <v>24</v>
      </c>
      <c r="D595" t="s">
        <v>29</v>
      </c>
      <c r="E595">
        <v>174</v>
      </c>
      <c r="F595">
        <v>264</v>
      </c>
      <c r="G595">
        <v>45936</v>
      </c>
      <c r="H595">
        <v>9239</v>
      </c>
    </row>
    <row r="596" spans="1:8" x14ac:dyDescent="0.25">
      <c r="A596">
        <v>2024</v>
      </c>
      <c r="B596" t="s">
        <v>15</v>
      </c>
      <c r="C596" t="s">
        <v>24</v>
      </c>
      <c r="D596" t="s">
        <v>30</v>
      </c>
      <c r="E596">
        <v>256</v>
      </c>
      <c r="F596">
        <v>270</v>
      </c>
      <c r="G596">
        <v>69120</v>
      </c>
      <c r="H596">
        <v>8376</v>
      </c>
    </row>
    <row r="597" spans="1:8" x14ac:dyDescent="0.25">
      <c r="A597">
        <v>2024</v>
      </c>
      <c r="B597" t="s">
        <v>15</v>
      </c>
      <c r="C597" t="s">
        <v>25</v>
      </c>
      <c r="D597" t="s">
        <v>26</v>
      </c>
      <c r="E597">
        <v>93</v>
      </c>
      <c r="F597">
        <v>341</v>
      </c>
      <c r="G597">
        <v>31713</v>
      </c>
      <c r="H597">
        <v>3556</v>
      </c>
    </row>
    <row r="598" spans="1:8" x14ac:dyDescent="0.25">
      <c r="A598">
        <v>2024</v>
      </c>
      <c r="B598" t="s">
        <v>15</v>
      </c>
      <c r="C598" t="s">
        <v>25</v>
      </c>
      <c r="D598" t="s">
        <v>27</v>
      </c>
      <c r="E598">
        <v>262</v>
      </c>
      <c r="F598">
        <v>330</v>
      </c>
      <c r="G598">
        <v>86460</v>
      </c>
      <c r="H598">
        <v>17658</v>
      </c>
    </row>
    <row r="599" spans="1:8" x14ac:dyDescent="0.25">
      <c r="A599">
        <v>2024</v>
      </c>
      <c r="B599" t="s">
        <v>15</v>
      </c>
      <c r="C599" t="s">
        <v>25</v>
      </c>
      <c r="D599" t="s">
        <v>28</v>
      </c>
      <c r="E599">
        <v>308</v>
      </c>
      <c r="F599">
        <v>400</v>
      </c>
      <c r="G599">
        <v>123200</v>
      </c>
      <c r="H599">
        <v>24165</v>
      </c>
    </row>
    <row r="600" spans="1:8" x14ac:dyDescent="0.25">
      <c r="A600">
        <v>2024</v>
      </c>
      <c r="B600" t="s">
        <v>15</v>
      </c>
      <c r="C600" t="s">
        <v>25</v>
      </c>
      <c r="D600" t="s">
        <v>29</v>
      </c>
      <c r="E600">
        <v>112</v>
      </c>
      <c r="F600">
        <v>365</v>
      </c>
      <c r="G600">
        <v>40880</v>
      </c>
      <c r="H600">
        <v>7027</v>
      </c>
    </row>
    <row r="601" spans="1:8" x14ac:dyDescent="0.25">
      <c r="A601">
        <v>2024</v>
      </c>
      <c r="B601" t="s">
        <v>15</v>
      </c>
      <c r="C601" t="s">
        <v>25</v>
      </c>
      <c r="D601" t="s">
        <v>30</v>
      </c>
      <c r="E601">
        <v>398</v>
      </c>
      <c r="F601">
        <v>395</v>
      </c>
      <c r="G601">
        <v>157210</v>
      </c>
      <c r="H601">
        <v>27206</v>
      </c>
    </row>
    <row r="602" spans="1:8" x14ac:dyDescent="0.25">
      <c r="A602">
        <v>2024</v>
      </c>
      <c r="B602" t="s">
        <v>16</v>
      </c>
      <c r="C602" t="s">
        <v>20</v>
      </c>
      <c r="D602" t="s">
        <v>26</v>
      </c>
      <c r="E602">
        <v>203</v>
      </c>
      <c r="F602">
        <v>1349</v>
      </c>
      <c r="G602">
        <v>273847</v>
      </c>
      <c r="H602">
        <v>61451</v>
      </c>
    </row>
    <row r="603" spans="1:8" x14ac:dyDescent="0.25">
      <c r="A603">
        <v>2024</v>
      </c>
      <c r="B603" t="s">
        <v>16</v>
      </c>
      <c r="C603" t="s">
        <v>20</v>
      </c>
      <c r="D603" t="s">
        <v>27</v>
      </c>
      <c r="E603">
        <v>111</v>
      </c>
      <c r="F603">
        <v>1279</v>
      </c>
      <c r="G603">
        <v>141969</v>
      </c>
      <c r="H603">
        <v>16789</v>
      </c>
    </row>
    <row r="604" spans="1:8" x14ac:dyDescent="0.25">
      <c r="A604">
        <v>2024</v>
      </c>
      <c r="B604" t="s">
        <v>16</v>
      </c>
      <c r="C604" t="s">
        <v>20</v>
      </c>
      <c r="D604" t="s">
        <v>28</v>
      </c>
      <c r="E604">
        <v>111</v>
      </c>
      <c r="F604">
        <v>1149</v>
      </c>
      <c r="G604">
        <v>127539</v>
      </c>
      <c r="H604">
        <v>14283</v>
      </c>
    </row>
    <row r="605" spans="1:8" x14ac:dyDescent="0.25">
      <c r="A605">
        <v>2024</v>
      </c>
      <c r="B605" t="s">
        <v>16</v>
      </c>
      <c r="C605" t="s">
        <v>20</v>
      </c>
      <c r="D605" t="s">
        <v>29</v>
      </c>
      <c r="E605">
        <v>97</v>
      </c>
      <c r="F605">
        <v>1369</v>
      </c>
      <c r="G605">
        <v>132793</v>
      </c>
      <c r="H605">
        <v>21894</v>
      </c>
    </row>
    <row r="606" spans="1:8" x14ac:dyDescent="0.25">
      <c r="A606">
        <v>2024</v>
      </c>
      <c r="B606" t="s">
        <v>16</v>
      </c>
      <c r="C606" t="s">
        <v>20</v>
      </c>
      <c r="D606" t="s">
        <v>30</v>
      </c>
      <c r="E606">
        <v>236</v>
      </c>
      <c r="F606">
        <v>1360</v>
      </c>
      <c r="G606">
        <v>320960</v>
      </c>
      <c r="H606">
        <v>74275</v>
      </c>
    </row>
    <row r="607" spans="1:8" x14ac:dyDescent="0.25">
      <c r="A607">
        <v>2024</v>
      </c>
      <c r="B607" t="s">
        <v>16</v>
      </c>
      <c r="C607" t="s">
        <v>21</v>
      </c>
      <c r="D607" t="s">
        <v>26</v>
      </c>
      <c r="E607">
        <v>424</v>
      </c>
      <c r="F607">
        <v>890</v>
      </c>
      <c r="G607">
        <v>377360</v>
      </c>
      <c r="H607">
        <v>37754</v>
      </c>
    </row>
    <row r="608" spans="1:8" x14ac:dyDescent="0.25">
      <c r="A608">
        <v>2024</v>
      </c>
      <c r="B608" t="s">
        <v>16</v>
      </c>
      <c r="C608" t="s">
        <v>21</v>
      </c>
      <c r="D608" t="s">
        <v>27</v>
      </c>
      <c r="E608">
        <v>131</v>
      </c>
      <c r="F608">
        <v>843</v>
      </c>
      <c r="G608">
        <v>110433</v>
      </c>
      <c r="H608">
        <v>21813</v>
      </c>
    </row>
    <row r="609" spans="1:8" x14ac:dyDescent="0.25">
      <c r="A609">
        <v>2024</v>
      </c>
      <c r="B609" t="s">
        <v>16</v>
      </c>
      <c r="C609" t="s">
        <v>21</v>
      </c>
      <c r="D609" t="s">
        <v>28</v>
      </c>
      <c r="E609">
        <v>393</v>
      </c>
      <c r="F609">
        <v>732</v>
      </c>
      <c r="G609">
        <v>287676</v>
      </c>
      <c r="H609">
        <v>62458</v>
      </c>
    </row>
    <row r="610" spans="1:8" x14ac:dyDescent="0.25">
      <c r="A610">
        <v>2024</v>
      </c>
      <c r="B610" t="s">
        <v>16</v>
      </c>
      <c r="C610" t="s">
        <v>21</v>
      </c>
      <c r="D610" t="s">
        <v>29</v>
      </c>
      <c r="E610">
        <v>370</v>
      </c>
      <c r="F610">
        <v>762</v>
      </c>
      <c r="G610">
        <v>281940</v>
      </c>
      <c r="H610">
        <v>48688</v>
      </c>
    </row>
    <row r="611" spans="1:8" x14ac:dyDescent="0.25">
      <c r="A611">
        <v>2024</v>
      </c>
      <c r="B611" t="s">
        <v>16</v>
      </c>
      <c r="C611" t="s">
        <v>21</v>
      </c>
      <c r="D611" t="s">
        <v>30</v>
      </c>
      <c r="E611">
        <v>276</v>
      </c>
      <c r="F611">
        <v>731</v>
      </c>
      <c r="G611">
        <v>201756</v>
      </c>
      <c r="H611">
        <v>41209</v>
      </c>
    </row>
    <row r="612" spans="1:8" x14ac:dyDescent="0.25">
      <c r="A612">
        <v>2024</v>
      </c>
      <c r="B612" t="s">
        <v>16</v>
      </c>
      <c r="C612" t="s">
        <v>22</v>
      </c>
      <c r="D612" t="s">
        <v>26</v>
      </c>
      <c r="E612">
        <v>174</v>
      </c>
      <c r="F612">
        <v>113</v>
      </c>
      <c r="G612">
        <v>19662</v>
      </c>
      <c r="H612">
        <v>2186</v>
      </c>
    </row>
    <row r="613" spans="1:8" x14ac:dyDescent="0.25">
      <c r="A613">
        <v>2024</v>
      </c>
      <c r="B613" t="s">
        <v>16</v>
      </c>
      <c r="C613" t="s">
        <v>22</v>
      </c>
      <c r="D613" t="s">
        <v>27</v>
      </c>
      <c r="E613">
        <v>252</v>
      </c>
      <c r="F613">
        <v>117</v>
      </c>
      <c r="G613">
        <v>29484</v>
      </c>
      <c r="H613">
        <v>3395</v>
      </c>
    </row>
    <row r="614" spans="1:8" x14ac:dyDescent="0.25">
      <c r="A614">
        <v>2024</v>
      </c>
      <c r="B614" t="s">
        <v>16</v>
      </c>
      <c r="C614" t="s">
        <v>22</v>
      </c>
      <c r="D614" t="s">
        <v>28</v>
      </c>
      <c r="E614">
        <v>170</v>
      </c>
      <c r="F614">
        <v>128</v>
      </c>
      <c r="G614">
        <v>21760</v>
      </c>
      <c r="H614">
        <v>4193</v>
      </c>
    </row>
    <row r="615" spans="1:8" x14ac:dyDescent="0.25">
      <c r="A615">
        <v>2024</v>
      </c>
      <c r="B615" t="s">
        <v>16</v>
      </c>
      <c r="C615" t="s">
        <v>22</v>
      </c>
      <c r="D615" t="s">
        <v>29</v>
      </c>
      <c r="E615">
        <v>364</v>
      </c>
      <c r="F615">
        <v>137</v>
      </c>
      <c r="G615">
        <v>49868</v>
      </c>
      <c r="H615">
        <v>11075</v>
      </c>
    </row>
    <row r="616" spans="1:8" x14ac:dyDescent="0.25">
      <c r="A616">
        <v>2024</v>
      </c>
      <c r="B616" t="s">
        <v>16</v>
      </c>
      <c r="C616" t="s">
        <v>22</v>
      </c>
      <c r="D616" t="s">
        <v>30</v>
      </c>
      <c r="E616">
        <v>416</v>
      </c>
      <c r="F616">
        <v>113</v>
      </c>
      <c r="G616">
        <v>47008</v>
      </c>
      <c r="H616">
        <v>9324</v>
      </c>
    </row>
    <row r="617" spans="1:8" x14ac:dyDescent="0.25">
      <c r="A617">
        <v>2024</v>
      </c>
      <c r="B617" t="s">
        <v>16</v>
      </c>
      <c r="C617" t="s">
        <v>23</v>
      </c>
      <c r="D617" t="s">
        <v>26</v>
      </c>
      <c r="E617">
        <v>333</v>
      </c>
      <c r="F617">
        <v>648</v>
      </c>
      <c r="G617">
        <v>215784</v>
      </c>
      <c r="H617">
        <v>47216</v>
      </c>
    </row>
    <row r="618" spans="1:8" x14ac:dyDescent="0.25">
      <c r="A618">
        <v>2024</v>
      </c>
      <c r="B618" t="s">
        <v>16</v>
      </c>
      <c r="C618" t="s">
        <v>23</v>
      </c>
      <c r="D618" t="s">
        <v>27</v>
      </c>
      <c r="E618">
        <v>290</v>
      </c>
      <c r="F618">
        <v>607</v>
      </c>
      <c r="G618">
        <v>176030</v>
      </c>
      <c r="H618">
        <v>22741</v>
      </c>
    </row>
    <row r="619" spans="1:8" x14ac:dyDescent="0.25">
      <c r="A619">
        <v>2024</v>
      </c>
      <c r="B619" t="s">
        <v>16</v>
      </c>
      <c r="C619" t="s">
        <v>23</v>
      </c>
      <c r="D619" t="s">
        <v>28</v>
      </c>
      <c r="E619">
        <v>92</v>
      </c>
      <c r="F619">
        <v>618</v>
      </c>
      <c r="G619">
        <v>56856</v>
      </c>
      <c r="H619">
        <v>9793</v>
      </c>
    </row>
    <row r="620" spans="1:8" x14ac:dyDescent="0.25">
      <c r="A620">
        <v>2024</v>
      </c>
      <c r="B620" t="s">
        <v>16</v>
      </c>
      <c r="C620" t="s">
        <v>23</v>
      </c>
      <c r="D620" t="s">
        <v>29</v>
      </c>
      <c r="E620">
        <v>331</v>
      </c>
      <c r="F620">
        <v>598</v>
      </c>
      <c r="G620">
        <v>197938</v>
      </c>
      <c r="H620">
        <v>48410</v>
      </c>
    </row>
    <row r="621" spans="1:8" x14ac:dyDescent="0.25">
      <c r="A621">
        <v>2024</v>
      </c>
      <c r="B621" t="s">
        <v>16</v>
      </c>
      <c r="C621" t="s">
        <v>23</v>
      </c>
      <c r="D621" t="s">
        <v>30</v>
      </c>
      <c r="E621">
        <v>281</v>
      </c>
      <c r="F621">
        <v>602</v>
      </c>
      <c r="G621">
        <v>169162</v>
      </c>
      <c r="H621">
        <v>29129</v>
      </c>
    </row>
    <row r="622" spans="1:8" x14ac:dyDescent="0.25">
      <c r="A622">
        <v>2024</v>
      </c>
      <c r="B622" t="s">
        <v>16</v>
      </c>
      <c r="C622" t="s">
        <v>24</v>
      </c>
      <c r="D622" t="s">
        <v>26</v>
      </c>
      <c r="E622">
        <v>349</v>
      </c>
      <c r="F622">
        <v>274</v>
      </c>
      <c r="G622">
        <v>95626</v>
      </c>
      <c r="H622">
        <v>17912</v>
      </c>
    </row>
    <row r="623" spans="1:8" x14ac:dyDescent="0.25">
      <c r="A623">
        <v>2024</v>
      </c>
      <c r="B623" t="s">
        <v>16</v>
      </c>
      <c r="C623" t="s">
        <v>24</v>
      </c>
      <c r="D623" t="s">
        <v>27</v>
      </c>
      <c r="E623">
        <v>422</v>
      </c>
      <c r="F623">
        <v>236</v>
      </c>
      <c r="G623">
        <v>99592</v>
      </c>
      <c r="H623">
        <v>19205</v>
      </c>
    </row>
    <row r="624" spans="1:8" x14ac:dyDescent="0.25">
      <c r="A624">
        <v>2024</v>
      </c>
      <c r="B624" t="s">
        <v>16</v>
      </c>
      <c r="C624" t="s">
        <v>24</v>
      </c>
      <c r="D624" t="s">
        <v>28</v>
      </c>
      <c r="E624">
        <v>98</v>
      </c>
      <c r="F624">
        <v>225</v>
      </c>
      <c r="G624">
        <v>22050</v>
      </c>
      <c r="H624">
        <v>3002</v>
      </c>
    </row>
    <row r="625" spans="1:8" x14ac:dyDescent="0.25">
      <c r="A625">
        <v>2024</v>
      </c>
      <c r="B625" t="s">
        <v>16</v>
      </c>
      <c r="C625" t="s">
        <v>24</v>
      </c>
      <c r="D625" t="s">
        <v>29</v>
      </c>
      <c r="E625">
        <v>313</v>
      </c>
      <c r="F625">
        <v>237</v>
      </c>
      <c r="G625">
        <v>74181</v>
      </c>
      <c r="H625">
        <v>8137</v>
      </c>
    </row>
    <row r="626" spans="1:8" x14ac:dyDescent="0.25">
      <c r="A626">
        <v>2024</v>
      </c>
      <c r="B626" t="s">
        <v>16</v>
      </c>
      <c r="C626" t="s">
        <v>24</v>
      </c>
      <c r="D626" t="s">
        <v>30</v>
      </c>
      <c r="E626">
        <v>256</v>
      </c>
      <c r="F626">
        <v>255</v>
      </c>
      <c r="G626">
        <v>65280</v>
      </c>
      <c r="H626">
        <v>7602</v>
      </c>
    </row>
    <row r="627" spans="1:8" x14ac:dyDescent="0.25">
      <c r="A627">
        <v>2024</v>
      </c>
      <c r="B627" t="s">
        <v>16</v>
      </c>
      <c r="C627" t="s">
        <v>25</v>
      </c>
      <c r="D627" t="s">
        <v>26</v>
      </c>
      <c r="E627">
        <v>287</v>
      </c>
      <c r="F627">
        <v>371</v>
      </c>
      <c r="G627">
        <v>106477</v>
      </c>
      <c r="H627">
        <v>18622</v>
      </c>
    </row>
    <row r="628" spans="1:8" x14ac:dyDescent="0.25">
      <c r="A628">
        <v>2024</v>
      </c>
      <c r="B628" t="s">
        <v>16</v>
      </c>
      <c r="C628" t="s">
        <v>25</v>
      </c>
      <c r="D628" t="s">
        <v>27</v>
      </c>
      <c r="E628">
        <v>360</v>
      </c>
      <c r="F628">
        <v>323</v>
      </c>
      <c r="G628">
        <v>116280</v>
      </c>
      <c r="H628">
        <v>20143</v>
      </c>
    </row>
    <row r="629" spans="1:8" x14ac:dyDescent="0.25">
      <c r="A629">
        <v>2024</v>
      </c>
      <c r="B629" t="s">
        <v>16</v>
      </c>
      <c r="C629" t="s">
        <v>25</v>
      </c>
      <c r="D629" t="s">
        <v>28</v>
      </c>
      <c r="E629">
        <v>295</v>
      </c>
      <c r="F629">
        <v>390</v>
      </c>
      <c r="G629">
        <v>115050</v>
      </c>
      <c r="H629">
        <v>15706</v>
      </c>
    </row>
    <row r="630" spans="1:8" x14ac:dyDescent="0.25">
      <c r="A630">
        <v>2024</v>
      </c>
      <c r="B630" t="s">
        <v>16</v>
      </c>
      <c r="C630" t="s">
        <v>25</v>
      </c>
      <c r="D630" t="s">
        <v>29</v>
      </c>
      <c r="E630">
        <v>173</v>
      </c>
      <c r="F630">
        <v>356</v>
      </c>
      <c r="G630">
        <v>61588</v>
      </c>
      <c r="H630">
        <v>9631</v>
      </c>
    </row>
    <row r="631" spans="1:8" x14ac:dyDescent="0.25">
      <c r="A631">
        <v>2024</v>
      </c>
      <c r="B631" t="s">
        <v>16</v>
      </c>
      <c r="C631" t="s">
        <v>25</v>
      </c>
      <c r="D631" t="s">
        <v>30</v>
      </c>
      <c r="E631">
        <v>130</v>
      </c>
      <c r="F631">
        <v>383</v>
      </c>
      <c r="G631">
        <v>49790</v>
      </c>
      <c r="H631">
        <v>11641</v>
      </c>
    </row>
    <row r="632" spans="1:8" x14ac:dyDescent="0.25">
      <c r="A632">
        <v>2024</v>
      </c>
      <c r="B632" t="s">
        <v>17</v>
      </c>
      <c r="C632" t="s">
        <v>20</v>
      </c>
      <c r="D632" t="s">
        <v>26</v>
      </c>
      <c r="E632">
        <v>199</v>
      </c>
      <c r="F632">
        <v>1110</v>
      </c>
      <c r="G632">
        <v>220890</v>
      </c>
      <c r="H632">
        <v>43913</v>
      </c>
    </row>
    <row r="633" spans="1:8" x14ac:dyDescent="0.25">
      <c r="A633">
        <v>2024</v>
      </c>
      <c r="B633" t="s">
        <v>17</v>
      </c>
      <c r="C633" t="s">
        <v>20</v>
      </c>
      <c r="D633" t="s">
        <v>27</v>
      </c>
      <c r="E633">
        <v>225</v>
      </c>
      <c r="F633">
        <v>1322</v>
      </c>
      <c r="G633">
        <v>297450</v>
      </c>
      <c r="H633">
        <v>33154</v>
      </c>
    </row>
    <row r="634" spans="1:8" x14ac:dyDescent="0.25">
      <c r="A634">
        <v>2024</v>
      </c>
      <c r="B634" t="s">
        <v>17</v>
      </c>
      <c r="C634" t="s">
        <v>20</v>
      </c>
      <c r="D634" t="s">
        <v>28</v>
      </c>
      <c r="E634">
        <v>190</v>
      </c>
      <c r="F634">
        <v>1332</v>
      </c>
      <c r="G634">
        <v>253080</v>
      </c>
      <c r="H634">
        <v>26766</v>
      </c>
    </row>
    <row r="635" spans="1:8" x14ac:dyDescent="0.25">
      <c r="A635">
        <v>2024</v>
      </c>
      <c r="B635" t="s">
        <v>17</v>
      </c>
      <c r="C635" t="s">
        <v>20</v>
      </c>
      <c r="D635" t="s">
        <v>29</v>
      </c>
      <c r="E635">
        <v>336</v>
      </c>
      <c r="F635">
        <v>1218</v>
      </c>
      <c r="G635">
        <v>409248</v>
      </c>
      <c r="H635">
        <v>80040</v>
      </c>
    </row>
    <row r="636" spans="1:8" x14ac:dyDescent="0.25">
      <c r="A636">
        <v>2024</v>
      </c>
      <c r="B636" t="s">
        <v>17</v>
      </c>
      <c r="C636" t="s">
        <v>20</v>
      </c>
      <c r="D636" t="s">
        <v>30</v>
      </c>
      <c r="E636">
        <v>399</v>
      </c>
      <c r="F636">
        <v>1195</v>
      </c>
      <c r="G636">
        <v>476805</v>
      </c>
      <c r="H636">
        <v>79873</v>
      </c>
    </row>
    <row r="637" spans="1:8" x14ac:dyDescent="0.25">
      <c r="A637">
        <v>2024</v>
      </c>
      <c r="B637" t="s">
        <v>17</v>
      </c>
      <c r="C637" t="s">
        <v>21</v>
      </c>
      <c r="D637" t="s">
        <v>26</v>
      </c>
      <c r="E637">
        <v>171</v>
      </c>
      <c r="F637">
        <v>897</v>
      </c>
      <c r="G637">
        <v>153387</v>
      </c>
      <c r="H637">
        <v>25706</v>
      </c>
    </row>
    <row r="638" spans="1:8" x14ac:dyDescent="0.25">
      <c r="A638">
        <v>2024</v>
      </c>
      <c r="B638" t="s">
        <v>17</v>
      </c>
      <c r="C638" t="s">
        <v>21</v>
      </c>
      <c r="D638" t="s">
        <v>27</v>
      </c>
      <c r="E638">
        <v>272</v>
      </c>
      <c r="F638">
        <v>750</v>
      </c>
      <c r="G638">
        <v>204000</v>
      </c>
      <c r="H638">
        <v>42965</v>
      </c>
    </row>
    <row r="639" spans="1:8" x14ac:dyDescent="0.25">
      <c r="A639">
        <v>2024</v>
      </c>
      <c r="B639" t="s">
        <v>17</v>
      </c>
      <c r="C639" t="s">
        <v>21</v>
      </c>
      <c r="D639" t="s">
        <v>28</v>
      </c>
      <c r="E639">
        <v>179</v>
      </c>
      <c r="F639">
        <v>856</v>
      </c>
      <c r="G639">
        <v>153224</v>
      </c>
      <c r="H639">
        <v>16280</v>
      </c>
    </row>
    <row r="640" spans="1:8" x14ac:dyDescent="0.25">
      <c r="A640">
        <v>2024</v>
      </c>
      <c r="B640" t="s">
        <v>17</v>
      </c>
      <c r="C640" t="s">
        <v>21</v>
      </c>
      <c r="D640" t="s">
        <v>29</v>
      </c>
      <c r="E640">
        <v>179</v>
      </c>
      <c r="F640">
        <v>863</v>
      </c>
      <c r="G640">
        <v>154477</v>
      </c>
      <c r="H640">
        <v>17118</v>
      </c>
    </row>
    <row r="641" spans="1:8" x14ac:dyDescent="0.25">
      <c r="A641">
        <v>2024</v>
      </c>
      <c r="B641" t="s">
        <v>17</v>
      </c>
      <c r="C641" t="s">
        <v>21</v>
      </c>
      <c r="D641" t="s">
        <v>30</v>
      </c>
      <c r="E641">
        <v>250</v>
      </c>
      <c r="F641">
        <v>727</v>
      </c>
      <c r="G641">
        <v>181750</v>
      </c>
      <c r="H641">
        <v>32040</v>
      </c>
    </row>
    <row r="642" spans="1:8" x14ac:dyDescent="0.25">
      <c r="A642">
        <v>2024</v>
      </c>
      <c r="B642" t="s">
        <v>17</v>
      </c>
      <c r="C642" t="s">
        <v>22</v>
      </c>
      <c r="D642" t="s">
        <v>26</v>
      </c>
      <c r="E642">
        <v>336</v>
      </c>
      <c r="F642">
        <v>118</v>
      </c>
      <c r="G642">
        <v>39648</v>
      </c>
      <c r="H642">
        <v>5728</v>
      </c>
    </row>
    <row r="643" spans="1:8" x14ac:dyDescent="0.25">
      <c r="A643">
        <v>2024</v>
      </c>
      <c r="B643" t="s">
        <v>17</v>
      </c>
      <c r="C643" t="s">
        <v>22</v>
      </c>
      <c r="D643" t="s">
        <v>27</v>
      </c>
      <c r="E643">
        <v>236</v>
      </c>
      <c r="F643">
        <v>137</v>
      </c>
      <c r="G643">
        <v>32332</v>
      </c>
      <c r="H643">
        <v>7803</v>
      </c>
    </row>
    <row r="644" spans="1:8" x14ac:dyDescent="0.25">
      <c r="A644">
        <v>2024</v>
      </c>
      <c r="B644" t="s">
        <v>17</v>
      </c>
      <c r="C644" t="s">
        <v>22</v>
      </c>
      <c r="D644" t="s">
        <v>28</v>
      </c>
      <c r="E644">
        <v>115</v>
      </c>
      <c r="F644">
        <v>118</v>
      </c>
      <c r="G644">
        <v>13570</v>
      </c>
      <c r="H644">
        <v>2195</v>
      </c>
    </row>
    <row r="645" spans="1:8" x14ac:dyDescent="0.25">
      <c r="A645">
        <v>2024</v>
      </c>
      <c r="B645" t="s">
        <v>17</v>
      </c>
      <c r="C645" t="s">
        <v>22</v>
      </c>
      <c r="D645" t="s">
        <v>29</v>
      </c>
      <c r="E645">
        <v>368</v>
      </c>
      <c r="F645">
        <v>127</v>
      </c>
      <c r="G645">
        <v>46736</v>
      </c>
      <c r="H645">
        <v>10032</v>
      </c>
    </row>
    <row r="646" spans="1:8" x14ac:dyDescent="0.25">
      <c r="A646">
        <v>2024</v>
      </c>
      <c r="B646" t="s">
        <v>17</v>
      </c>
      <c r="C646" t="s">
        <v>22</v>
      </c>
      <c r="D646" t="s">
        <v>30</v>
      </c>
      <c r="E646">
        <v>432</v>
      </c>
      <c r="F646">
        <v>120</v>
      </c>
      <c r="G646">
        <v>51840</v>
      </c>
      <c r="H646">
        <v>5826</v>
      </c>
    </row>
    <row r="647" spans="1:8" x14ac:dyDescent="0.25">
      <c r="A647">
        <v>2024</v>
      </c>
      <c r="B647" t="s">
        <v>17</v>
      </c>
      <c r="C647" t="s">
        <v>23</v>
      </c>
      <c r="D647" t="s">
        <v>26</v>
      </c>
      <c r="E647">
        <v>323</v>
      </c>
      <c r="F647">
        <v>674</v>
      </c>
      <c r="G647">
        <v>217702</v>
      </c>
      <c r="H647">
        <v>47322</v>
      </c>
    </row>
    <row r="648" spans="1:8" x14ac:dyDescent="0.25">
      <c r="A648">
        <v>2024</v>
      </c>
      <c r="B648" t="s">
        <v>17</v>
      </c>
      <c r="C648" t="s">
        <v>23</v>
      </c>
      <c r="D648" t="s">
        <v>27</v>
      </c>
      <c r="E648">
        <v>138</v>
      </c>
      <c r="F648">
        <v>578</v>
      </c>
      <c r="G648">
        <v>79764</v>
      </c>
      <c r="H648">
        <v>11095</v>
      </c>
    </row>
    <row r="649" spans="1:8" x14ac:dyDescent="0.25">
      <c r="A649">
        <v>2024</v>
      </c>
      <c r="B649" t="s">
        <v>17</v>
      </c>
      <c r="C649" t="s">
        <v>23</v>
      </c>
      <c r="D649" t="s">
        <v>28</v>
      </c>
      <c r="E649">
        <v>199</v>
      </c>
      <c r="F649">
        <v>636</v>
      </c>
      <c r="G649">
        <v>126564</v>
      </c>
      <c r="H649">
        <v>22723</v>
      </c>
    </row>
    <row r="650" spans="1:8" x14ac:dyDescent="0.25">
      <c r="A650">
        <v>2024</v>
      </c>
      <c r="B650" t="s">
        <v>17</v>
      </c>
      <c r="C650" t="s">
        <v>23</v>
      </c>
      <c r="D650" t="s">
        <v>29</v>
      </c>
      <c r="E650">
        <v>291</v>
      </c>
      <c r="F650">
        <v>674</v>
      </c>
      <c r="G650">
        <v>196134</v>
      </c>
      <c r="H650">
        <v>29093</v>
      </c>
    </row>
    <row r="651" spans="1:8" x14ac:dyDescent="0.25">
      <c r="A651">
        <v>2024</v>
      </c>
      <c r="B651" t="s">
        <v>17</v>
      </c>
      <c r="C651" t="s">
        <v>23</v>
      </c>
      <c r="D651" t="s">
        <v>30</v>
      </c>
      <c r="E651">
        <v>263</v>
      </c>
      <c r="F651">
        <v>583</v>
      </c>
      <c r="G651">
        <v>153329</v>
      </c>
      <c r="H651">
        <v>37871</v>
      </c>
    </row>
    <row r="652" spans="1:8" x14ac:dyDescent="0.25">
      <c r="A652">
        <v>2024</v>
      </c>
      <c r="B652" t="s">
        <v>17</v>
      </c>
      <c r="C652" t="s">
        <v>24</v>
      </c>
      <c r="D652" t="s">
        <v>26</v>
      </c>
      <c r="E652">
        <v>376</v>
      </c>
      <c r="F652">
        <v>261</v>
      </c>
      <c r="G652">
        <v>98136</v>
      </c>
      <c r="H652">
        <v>20825</v>
      </c>
    </row>
    <row r="653" spans="1:8" x14ac:dyDescent="0.25">
      <c r="A653">
        <v>2024</v>
      </c>
      <c r="B653" t="s">
        <v>17</v>
      </c>
      <c r="C653" t="s">
        <v>24</v>
      </c>
      <c r="D653" t="s">
        <v>27</v>
      </c>
      <c r="E653">
        <v>397</v>
      </c>
      <c r="F653">
        <v>263</v>
      </c>
      <c r="G653">
        <v>104411</v>
      </c>
      <c r="H653">
        <v>12894</v>
      </c>
    </row>
    <row r="654" spans="1:8" x14ac:dyDescent="0.25">
      <c r="A654">
        <v>2024</v>
      </c>
      <c r="B654" t="s">
        <v>17</v>
      </c>
      <c r="C654" t="s">
        <v>24</v>
      </c>
      <c r="D654" t="s">
        <v>28</v>
      </c>
      <c r="E654">
        <v>96</v>
      </c>
      <c r="F654">
        <v>246</v>
      </c>
      <c r="G654">
        <v>23616</v>
      </c>
      <c r="H654">
        <v>5649</v>
      </c>
    </row>
    <row r="655" spans="1:8" x14ac:dyDescent="0.25">
      <c r="A655">
        <v>2024</v>
      </c>
      <c r="B655" t="s">
        <v>17</v>
      </c>
      <c r="C655" t="s">
        <v>24</v>
      </c>
      <c r="D655" t="s">
        <v>29</v>
      </c>
      <c r="E655">
        <v>283</v>
      </c>
      <c r="F655">
        <v>230</v>
      </c>
      <c r="G655">
        <v>65090</v>
      </c>
      <c r="H655">
        <v>10180</v>
      </c>
    </row>
    <row r="656" spans="1:8" x14ac:dyDescent="0.25">
      <c r="A656">
        <v>2024</v>
      </c>
      <c r="B656" t="s">
        <v>17</v>
      </c>
      <c r="C656" t="s">
        <v>24</v>
      </c>
      <c r="D656" t="s">
        <v>30</v>
      </c>
      <c r="E656">
        <v>219</v>
      </c>
      <c r="F656">
        <v>249</v>
      </c>
      <c r="G656">
        <v>54531</v>
      </c>
      <c r="H656">
        <v>6791</v>
      </c>
    </row>
    <row r="657" spans="1:8" x14ac:dyDescent="0.25">
      <c r="A657">
        <v>2024</v>
      </c>
      <c r="B657" t="s">
        <v>17</v>
      </c>
      <c r="C657" t="s">
        <v>25</v>
      </c>
      <c r="D657" t="s">
        <v>26</v>
      </c>
      <c r="E657">
        <v>316</v>
      </c>
      <c r="F657">
        <v>374</v>
      </c>
      <c r="G657">
        <v>118184</v>
      </c>
      <c r="H657">
        <v>20612</v>
      </c>
    </row>
    <row r="658" spans="1:8" x14ac:dyDescent="0.25">
      <c r="A658">
        <v>2024</v>
      </c>
      <c r="B658" t="s">
        <v>17</v>
      </c>
      <c r="C658" t="s">
        <v>25</v>
      </c>
      <c r="D658" t="s">
        <v>27</v>
      </c>
      <c r="E658">
        <v>207</v>
      </c>
      <c r="F658">
        <v>371</v>
      </c>
      <c r="G658">
        <v>76797</v>
      </c>
      <c r="H658">
        <v>10973</v>
      </c>
    </row>
    <row r="659" spans="1:8" x14ac:dyDescent="0.25">
      <c r="A659">
        <v>2024</v>
      </c>
      <c r="B659" t="s">
        <v>17</v>
      </c>
      <c r="C659" t="s">
        <v>25</v>
      </c>
      <c r="D659" t="s">
        <v>28</v>
      </c>
      <c r="E659">
        <v>120</v>
      </c>
      <c r="F659">
        <v>342</v>
      </c>
      <c r="G659">
        <v>41040</v>
      </c>
      <c r="H659">
        <v>9516</v>
      </c>
    </row>
    <row r="660" spans="1:8" x14ac:dyDescent="0.25">
      <c r="A660">
        <v>2024</v>
      </c>
      <c r="B660" t="s">
        <v>17</v>
      </c>
      <c r="C660" t="s">
        <v>25</v>
      </c>
      <c r="D660" t="s">
        <v>29</v>
      </c>
      <c r="E660">
        <v>375</v>
      </c>
      <c r="F660">
        <v>395</v>
      </c>
      <c r="G660">
        <v>148125</v>
      </c>
      <c r="H660">
        <v>20416</v>
      </c>
    </row>
    <row r="661" spans="1:8" x14ac:dyDescent="0.25">
      <c r="A661">
        <v>2024</v>
      </c>
      <c r="B661" t="s">
        <v>17</v>
      </c>
      <c r="C661" t="s">
        <v>25</v>
      </c>
      <c r="D661" t="s">
        <v>30</v>
      </c>
      <c r="E661">
        <v>246</v>
      </c>
      <c r="F661">
        <v>400</v>
      </c>
      <c r="G661">
        <v>98400</v>
      </c>
      <c r="H661">
        <v>20883</v>
      </c>
    </row>
    <row r="662" spans="1:8" x14ac:dyDescent="0.25">
      <c r="A662">
        <v>2024</v>
      </c>
      <c r="B662" t="s">
        <v>18</v>
      </c>
      <c r="C662" t="s">
        <v>20</v>
      </c>
      <c r="D662" t="s">
        <v>26</v>
      </c>
      <c r="E662">
        <v>349</v>
      </c>
      <c r="F662">
        <v>1312</v>
      </c>
      <c r="G662">
        <v>457888</v>
      </c>
      <c r="H662">
        <v>90856</v>
      </c>
    </row>
    <row r="663" spans="1:8" x14ac:dyDescent="0.25">
      <c r="A663">
        <v>2024</v>
      </c>
      <c r="B663" t="s">
        <v>18</v>
      </c>
      <c r="C663" t="s">
        <v>20</v>
      </c>
      <c r="D663" t="s">
        <v>27</v>
      </c>
      <c r="E663">
        <v>311</v>
      </c>
      <c r="F663">
        <v>1176</v>
      </c>
      <c r="G663">
        <v>365736</v>
      </c>
      <c r="H663">
        <v>77893</v>
      </c>
    </row>
    <row r="664" spans="1:8" x14ac:dyDescent="0.25">
      <c r="A664">
        <v>2024</v>
      </c>
      <c r="B664" t="s">
        <v>18</v>
      </c>
      <c r="C664" t="s">
        <v>20</v>
      </c>
      <c r="D664" t="s">
        <v>28</v>
      </c>
      <c r="E664">
        <v>111</v>
      </c>
      <c r="F664">
        <v>1241</v>
      </c>
      <c r="G664">
        <v>137751</v>
      </c>
      <c r="H664">
        <v>28816</v>
      </c>
    </row>
    <row r="665" spans="1:8" x14ac:dyDescent="0.25">
      <c r="A665">
        <v>2024</v>
      </c>
      <c r="B665" t="s">
        <v>18</v>
      </c>
      <c r="C665" t="s">
        <v>20</v>
      </c>
      <c r="D665" t="s">
        <v>29</v>
      </c>
      <c r="E665">
        <v>371</v>
      </c>
      <c r="F665">
        <v>1119</v>
      </c>
      <c r="G665">
        <v>415149</v>
      </c>
      <c r="H665">
        <v>86723</v>
      </c>
    </row>
    <row r="666" spans="1:8" x14ac:dyDescent="0.25">
      <c r="A666">
        <v>2024</v>
      </c>
      <c r="B666" t="s">
        <v>18</v>
      </c>
      <c r="C666" t="s">
        <v>20</v>
      </c>
      <c r="D666" t="s">
        <v>30</v>
      </c>
      <c r="E666">
        <v>399</v>
      </c>
      <c r="F666">
        <v>1369</v>
      </c>
      <c r="G666">
        <v>546231</v>
      </c>
      <c r="H666">
        <v>94639</v>
      </c>
    </row>
    <row r="667" spans="1:8" x14ac:dyDescent="0.25">
      <c r="A667">
        <v>2024</v>
      </c>
      <c r="B667" t="s">
        <v>18</v>
      </c>
      <c r="C667" t="s">
        <v>21</v>
      </c>
      <c r="D667" t="s">
        <v>26</v>
      </c>
      <c r="E667">
        <v>184</v>
      </c>
      <c r="F667">
        <v>788</v>
      </c>
      <c r="G667">
        <v>144992</v>
      </c>
      <c r="H667">
        <v>23490</v>
      </c>
    </row>
    <row r="668" spans="1:8" x14ac:dyDescent="0.25">
      <c r="A668">
        <v>2024</v>
      </c>
      <c r="B668" t="s">
        <v>18</v>
      </c>
      <c r="C668" t="s">
        <v>21</v>
      </c>
      <c r="D668" t="s">
        <v>27</v>
      </c>
      <c r="E668">
        <v>295</v>
      </c>
      <c r="F668">
        <v>868</v>
      </c>
      <c r="G668">
        <v>256060</v>
      </c>
      <c r="H668">
        <v>49110</v>
      </c>
    </row>
    <row r="669" spans="1:8" x14ac:dyDescent="0.25">
      <c r="A669">
        <v>2024</v>
      </c>
      <c r="B669" t="s">
        <v>18</v>
      </c>
      <c r="C669" t="s">
        <v>21</v>
      </c>
      <c r="D669" t="s">
        <v>28</v>
      </c>
      <c r="E669">
        <v>217</v>
      </c>
      <c r="F669">
        <v>833</v>
      </c>
      <c r="G669">
        <v>180761</v>
      </c>
      <c r="H669">
        <v>36754</v>
      </c>
    </row>
    <row r="670" spans="1:8" x14ac:dyDescent="0.25">
      <c r="A670">
        <v>2024</v>
      </c>
      <c r="B670" t="s">
        <v>18</v>
      </c>
      <c r="C670" t="s">
        <v>21</v>
      </c>
      <c r="D670" t="s">
        <v>29</v>
      </c>
      <c r="E670">
        <v>412</v>
      </c>
      <c r="F670">
        <v>835</v>
      </c>
      <c r="G670">
        <v>344020</v>
      </c>
      <c r="H670">
        <v>79664</v>
      </c>
    </row>
    <row r="671" spans="1:8" x14ac:dyDescent="0.25">
      <c r="A671">
        <v>2024</v>
      </c>
      <c r="B671" t="s">
        <v>18</v>
      </c>
      <c r="C671" t="s">
        <v>21</v>
      </c>
      <c r="D671" t="s">
        <v>30</v>
      </c>
      <c r="E671">
        <v>339</v>
      </c>
      <c r="F671">
        <v>752</v>
      </c>
      <c r="G671">
        <v>254928</v>
      </c>
      <c r="H671">
        <v>43142</v>
      </c>
    </row>
    <row r="672" spans="1:8" x14ac:dyDescent="0.25">
      <c r="A672">
        <v>2024</v>
      </c>
      <c r="B672" t="s">
        <v>18</v>
      </c>
      <c r="C672" t="s">
        <v>22</v>
      </c>
      <c r="D672" t="s">
        <v>26</v>
      </c>
      <c r="E672">
        <v>246</v>
      </c>
      <c r="F672">
        <v>132</v>
      </c>
      <c r="G672">
        <v>32472</v>
      </c>
      <c r="H672">
        <v>6859</v>
      </c>
    </row>
    <row r="673" spans="1:8" x14ac:dyDescent="0.25">
      <c r="A673">
        <v>2024</v>
      </c>
      <c r="B673" t="s">
        <v>18</v>
      </c>
      <c r="C673" t="s">
        <v>22</v>
      </c>
      <c r="D673" t="s">
        <v>27</v>
      </c>
      <c r="E673">
        <v>90</v>
      </c>
      <c r="F673">
        <v>137</v>
      </c>
      <c r="G673">
        <v>12330</v>
      </c>
      <c r="H673">
        <v>1416</v>
      </c>
    </row>
    <row r="674" spans="1:8" x14ac:dyDescent="0.25">
      <c r="A674">
        <v>2024</v>
      </c>
      <c r="B674" t="s">
        <v>18</v>
      </c>
      <c r="C674" t="s">
        <v>22</v>
      </c>
      <c r="D674" t="s">
        <v>28</v>
      </c>
      <c r="E674">
        <v>334</v>
      </c>
      <c r="F674">
        <v>134</v>
      </c>
      <c r="G674">
        <v>44756</v>
      </c>
      <c r="H674">
        <v>8890</v>
      </c>
    </row>
    <row r="675" spans="1:8" x14ac:dyDescent="0.25">
      <c r="A675">
        <v>2024</v>
      </c>
      <c r="B675" t="s">
        <v>18</v>
      </c>
      <c r="C675" t="s">
        <v>22</v>
      </c>
      <c r="D675" t="s">
        <v>29</v>
      </c>
      <c r="E675">
        <v>98</v>
      </c>
      <c r="F675">
        <v>130</v>
      </c>
      <c r="G675">
        <v>12740</v>
      </c>
      <c r="H675">
        <v>2831</v>
      </c>
    </row>
    <row r="676" spans="1:8" x14ac:dyDescent="0.25">
      <c r="A676">
        <v>2024</v>
      </c>
      <c r="B676" t="s">
        <v>18</v>
      </c>
      <c r="C676" t="s">
        <v>22</v>
      </c>
      <c r="D676" t="s">
        <v>30</v>
      </c>
      <c r="E676">
        <v>328</v>
      </c>
      <c r="F676">
        <v>113</v>
      </c>
      <c r="G676">
        <v>37064</v>
      </c>
      <c r="H676">
        <v>5682</v>
      </c>
    </row>
    <row r="677" spans="1:8" x14ac:dyDescent="0.25">
      <c r="A677">
        <v>2024</v>
      </c>
      <c r="B677" t="s">
        <v>18</v>
      </c>
      <c r="C677" t="s">
        <v>23</v>
      </c>
      <c r="D677" t="s">
        <v>26</v>
      </c>
      <c r="E677">
        <v>101</v>
      </c>
      <c r="F677">
        <v>620</v>
      </c>
      <c r="G677">
        <v>62620</v>
      </c>
      <c r="H677">
        <v>11185</v>
      </c>
    </row>
    <row r="678" spans="1:8" x14ac:dyDescent="0.25">
      <c r="A678">
        <v>2024</v>
      </c>
      <c r="B678" t="s">
        <v>18</v>
      </c>
      <c r="C678" t="s">
        <v>23</v>
      </c>
      <c r="D678" t="s">
        <v>27</v>
      </c>
      <c r="E678">
        <v>345</v>
      </c>
      <c r="F678">
        <v>654</v>
      </c>
      <c r="G678">
        <v>225630</v>
      </c>
      <c r="H678">
        <v>23758</v>
      </c>
    </row>
    <row r="679" spans="1:8" x14ac:dyDescent="0.25">
      <c r="A679">
        <v>2024</v>
      </c>
      <c r="B679" t="s">
        <v>18</v>
      </c>
      <c r="C679" t="s">
        <v>23</v>
      </c>
      <c r="D679" t="s">
        <v>28</v>
      </c>
      <c r="E679">
        <v>317</v>
      </c>
      <c r="F679">
        <v>541</v>
      </c>
      <c r="G679">
        <v>171497</v>
      </c>
      <c r="H679">
        <v>36431</v>
      </c>
    </row>
    <row r="680" spans="1:8" x14ac:dyDescent="0.25">
      <c r="A680">
        <v>2024</v>
      </c>
      <c r="B680" t="s">
        <v>18</v>
      </c>
      <c r="C680" t="s">
        <v>23</v>
      </c>
      <c r="D680" t="s">
        <v>29</v>
      </c>
      <c r="E680">
        <v>109</v>
      </c>
      <c r="F680">
        <v>589</v>
      </c>
      <c r="G680">
        <v>64201</v>
      </c>
      <c r="H680">
        <v>7853</v>
      </c>
    </row>
    <row r="681" spans="1:8" x14ac:dyDescent="0.25">
      <c r="A681">
        <v>2024</v>
      </c>
      <c r="B681" t="s">
        <v>18</v>
      </c>
      <c r="C681" t="s">
        <v>23</v>
      </c>
      <c r="D681" t="s">
        <v>30</v>
      </c>
      <c r="E681">
        <v>164</v>
      </c>
      <c r="F681">
        <v>671</v>
      </c>
      <c r="G681">
        <v>110044</v>
      </c>
      <c r="H681">
        <v>27450</v>
      </c>
    </row>
    <row r="682" spans="1:8" x14ac:dyDescent="0.25">
      <c r="A682">
        <v>2024</v>
      </c>
      <c r="B682" t="s">
        <v>18</v>
      </c>
      <c r="C682" t="s">
        <v>24</v>
      </c>
      <c r="D682" t="s">
        <v>26</v>
      </c>
      <c r="E682">
        <v>232</v>
      </c>
      <c r="F682">
        <v>249</v>
      </c>
      <c r="G682">
        <v>57768</v>
      </c>
      <c r="H682">
        <v>11351</v>
      </c>
    </row>
    <row r="683" spans="1:8" x14ac:dyDescent="0.25">
      <c r="A683">
        <v>2024</v>
      </c>
      <c r="B683" t="s">
        <v>18</v>
      </c>
      <c r="C683" t="s">
        <v>24</v>
      </c>
      <c r="D683" t="s">
        <v>27</v>
      </c>
      <c r="E683">
        <v>113</v>
      </c>
      <c r="F683">
        <v>238</v>
      </c>
      <c r="G683">
        <v>26894</v>
      </c>
      <c r="H683">
        <v>3245</v>
      </c>
    </row>
    <row r="684" spans="1:8" x14ac:dyDescent="0.25">
      <c r="A684">
        <v>2024</v>
      </c>
      <c r="B684" t="s">
        <v>18</v>
      </c>
      <c r="C684" t="s">
        <v>24</v>
      </c>
      <c r="D684" t="s">
        <v>28</v>
      </c>
      <c r="E684">
        <v>341</v>
      </c>
      <c r="F684">
        <v>250</v>
      </c>
      <c r="G684">
        <v>85250</v>
      </c>
      <c r="H684">
        <v>17420</v>
      </c>
    </row>
    <row r="685" spans="1:8" x14ac:dyDescent="0.25">
      <c r="A685">
        <v>2024</v>
      </c>
      <c r="B685" t="s">
        <v>18</v>
      </c>
      <c r="C685" t="s">
        <v>24</v>
      </c>
      <c r="D685" t="s">
        <v>29</v>
      </c>
      <c r="E685">
        <v>310</v>
      </c>
      <c r="F685">
        <v>263</v>
      </c>
      <c r="G685">
        <v>81530</v>
      </c>
      <c r="H685">
        <v>12500</v>
      </c>
    </row>
    <row r="686" spans="1:8" x14ac:dyDescent="0.25">
      <c r="A686">
        <v>2024</v>
      </c>
      <c r="B686" t="s">
        <v>18</v>
      </c>
      <c r="C686" t="s">
        <v>24</v>
      </c>
      <c r="D686" t="s">
        <v>30</v>
      </c>
      <c r="E686">
        <v>150</v>
      </c>
      <c r="F686">
        <v>249</v>
      </c>
      <c r="G686">
        <v>37350</v>
      </c>
      <c r="H686">
        <v>5989</v>
      </c>
    </row>
    <row r="687" spans="1:8" x14ac:dyDescent="0.25">
      <c r="A687">
        <v>2024</v>
      </c>
      <c r="B687" t="s">
        <v>18</v>
      </c>
      <c r="C687" t="s">
        <v>25</v>
      </c>
      <c r="D687" t="s">
        <v>26</v>
      </c>
      <c r="E687">
        <v>165</v>
      </c>
      <c r="F687">
        <v>357</v>
      </c>
      <c r="G687">
        <v>58905</v>
      </c>
      <c r="H687">
        <v>11565</v>
      </c>
    </row>
    <row r="688" spans="1:8" x14ac:dyDescent="0.25">
      <c r="A688">
        <v>2024</v>
      </c>
      <c r="B688" t="s">
        <v>18</v>
      </c>
      <c r="C688" t="s">
        <v>25</v>
      </c>
      <c r="D688" t="s">
        <v>27</v>
      </c>
      <c r="E688">
        <v>325</v>
      </c>
      <c r="F688">
        <v>324</v>
      </c>
      <c r="G688">
        <v>105300</v>
      </c>
      <c r="H688">
        <v>14090</v>
      </c>
    </row>
    <row r="689" spans="1:8" x14ac:dyDescent="0.25">
      <c r="A689">
        <v>2024</v>
      </c>
      <c r="B689" t="s">
        <v>18</v>
      </c>
      <c r="C689" t="s">
        <v>25</v>
      </c>
      <c r="D689" t="s">
        <v>28</v>
      </c>
      <c r="E689">
        <v>367</v>
      </c>
      <c r="F689">
        <v>357</v>
      </c>
      <c r="G689">
        <v>131019</v>
      </c>
      <c r="H689">
        <v>24881</v>
      </c>
    </row>
    <row r="690" spans="1:8" x14ac:dyDescent="0.25">
      <c r="A690">
        <v>2024</v>
      </c>
      <c r="B690" t="s">
        <v>18</v>
      </c>
      <c r="C690" t="s">
        <v>25</v>
      </c>
      <c r="D690" t="s">
        <v>29</v>
      </c>
      <c r="E690">
        <v>262</v>
      </c>
      <c r="F690">
        <v>317</v>
      </c>
      <c r="G690">
        <v>83054</v>
      </c>
      <c r="H690">
        <v>12318</v>
      </c>
    </row>
    <row r="691" spans="1:8" x14ac:dyDescent="0.25">
      <c r="A691">
        <v>2024</v>
      </c>
      <c r="B691" t="s">
        <v>18</v>
      </c>
      <c r="C691" t="s">
        <v>25</v>
      </c>
      <c r="D691" t="s">
        <v>30</v>
      </c>
      <c r="E691">
        <v>439</v>
      </c>
      <c r="F691">
        <v>321</v>
      </c>
      <c r="G691">
        <v>140919</v>
      </c>
      <c r="H691">
        <v>15329</v>
      </c>
    </row>
    <row r="692" spans="1:8" x14ac:dyDescent="0.25">
      <c r="A692">
        <v>2024</v>
      </c>
      <c r="B692" t="s">
        <v>19</v>
      </c>
      <c r="C692" t="s">
        <v>20</v>
      </c>
      <c r="D692" t="s">
        <v>26</v>
      </c>
      <c r="E692">
        <v>212</v>
      </c>
      <c r="F692">
        <v>1303</v>
      </c>
      <c r="G692">
        <v>276236</v>
      </c>
      <c r="H692">
        <v>68311</v>
      </c>
    </row>
    <row r="693" spans="1:8" x14ac:dyDescent="0.25">
      <c r="A693">
        <v>2024</v>
      </c>
      <c r="B693" t="s">
        <v>19</v>
      </c>
      <c r="C693" t="s">
        <v>20</v>
      </c>
      <c r="D693" t="s">
        <v>27</v>
      </c>
      <c r="E693">
        <v>221</v>
      </c>
      <c r="F693">
        <v>1316</v>
      </c>
      <c r="G693">
        <v>290836</v>
      </c>
      <c r="H693">
        <v>51649</v>
      </c>
    </row>
    <row r="694" spans="1:8" x14ac:dyDescent="0.25">
      <c r="A694">
        <v>2024</v>
      </c>
      <c r="B694" t="s">
        <v>19</v>
      </c>
      <c r="C694" t="s">
        <v>20</v>
      </c>
      <c r="D694" t="s">
        <v>28</v>
      </c>
      <c r="E694">
        <v>285</v>
      </c>
      <c r="F694">
        <v>1124</v>
      </c>
      <c r="G694">
        <v>320340</v>
      </c>
      <c r="H694">
        <v>47803</v>
      </c>
    </row>
    <row r="695" spans="1:8" x14ac:dyDescent="0.25">
      <c r="A695">
        <v>2024</v>
      </c>
      <c r="B695" t="s">
        <v>19</v>
      </c>
      <c r="C695" t="s">
        <v>20</v>
      </c>
      <c r="D695" t="s">
        <v>29</v>
      </c>
      <c r="E695">
        <v>296</v>
      </c>
      <c r="F695">
        <v>1150</v>
      </c>
      <c r="G695">
        <v>340400</v>
      </c>
      <c r="H695">
        <v>53004</v>
      </c>
    </row>
    <row r="696" spans="1:8" x14ac:dyDescent="0.25">
      <c r="A696">
        <v>2024</v>
      </c>
      <c r="B696" t="s">
        <v>19</v>
      </c>
      <c r="C696" t="s">
        <v>20</v>
      </c>
      <c r="D696" t="s">
        <v>30</v>
      </c>
      <c r="E696">
        <v>217</v>
      </c>
      <c r="F696">
        <v>1259</v>
      </c>
      <c r="G696">
        <v>273203</v>
      </c>
      <c r="H696">
        <v>57468</v>
      </c>
    </row>
    <row r="697" spans="1:8" x14ac:dyDescent="0.25">
      <c r="A697">
        <v>2024</v>
      </c>
      <c r="B697" t="s">
        <v>19</v>
      </c>
      <c r="C697" t="s">
        <v>21</v>
      </c>
      <c r="D697" t="s">
        <v>26</v>
      </c>
      <c r="E697">
        <v>443</v>
      </c>
      <c r="F697">
        <v>906</v>
      </c>
      <c r="G697">
        <v>401358</v>
      </c>
      <c r="H697">
        <v>78820</v>
      </c>
    </row>
    <row r="698" spans="1:8" x14ac:dyDescent="0.25">
      <c r="A698">
        <v>2024</v>
      </c>
      <c r="B698" t="s">
        <v>19</v>
      </c>
      <c r="C698" t="s">
        <v>21</v>
      </c>
      <c r="D698" t="s">
        <v>27</v>
      </c>
      <c r="E698">
        <v>313</v>
      </c>
      <c r="F698">
        <v>847</v>
      </c>
      <c r="G698">
        <v>265111</v>
      </c>
      <c r="H698">
        <v>57753</v>
      </c>
    </row>
    <row r="699" spans="1:8" x14ac:dyDescent="0.25">
      <c r="A699">
        <v>2024</v>
      </c>
      <c r="B699" t="s">
        <v>19</v>
      </c>
      <c r="C699" t="s">
        <v>21</v>
      </c>
      <c r="D699" t="s">
        <v>28</v>
      </c>
      <c r="E699">
        <v>313</v>
      </c>
      <c r="F699">
        <v>918</v>
      </c>
      <c r="G699">
        <v>287334</v>
      </c>
      <c r="H699">
        <v>60938</v>
      </c>
    </row>
    <row r="700" spans="1:8" x14ac:dyDescent="0.25">
      <c r="A700">
        <v>2024</v>
      </c>
      <c r="B700" t="s">
        <v>19</v>
      </c>
      <c r="C700" t="s">
        <v>21</v>
      </c>
      <c r="D700" t="s">
        <v>29</v>
      </c>
      <c r="E700">
        <v>244</v>
      </c>
      <c r="F700">
        <v>910</v>
      </c>
      <c r="G700">
        <v>222040</v>
      </c>
      <c r="H700">
        <v>28962</v>
      </c>
    </row>
    <row r="701" spans="1:8" x14ac:dyDescent="0.25">
      <c r="A701">
        <v>2024</v>
      </c>
      <c r="B701" t="s">
        <v>19</v>
      </c>
      <c r="C701" t="s">
        <v>21</v>
      </c>
      <c r="D701" t="s">
        <v>30</v>
      </c>
      <c r="E701">
        <v>158</v>
      </c>
      <c r="F701">
        <v>915</v>
      </c>
      <c r="G701">
        <v>144570</v>
      </c>
      <c r="H701">
        <v>18041</v>
      </c>
    </row>
    <row r="702" spans="1:8" x14ac:dyDescent="0.25">
      <c r="A702">
        <v>2024</v>
      </c>
      <c r="B702" t="s">
        <v>19</v>
      </c>
      <c r="C702" t="s">
        <v>22</v>
      </c>
      <c r="D702" t="s">
        <v>26</v>
      </c>
      <c r="E702">
        <v>210</v>
      </c>
      <c r="F702">
        <v>108</v>
      </c>
      <c r="G702">
        <v>22680</v>
      </c>
      <c r="H702">
        <v>5097</v>
      </c>
    </row>
    <row r="703" spans="1:8" x14ac:dyDescent="0.25">
      <c r="A703">
        <v>2024</v>
      </c>
      <c r="B703" t="s">
        <v>19</v>
      </c>
      <c r="C703" t="s">
        <v>22</v>
      </c>
      <c r="D703" t="s">
        <v>27</v>
      </c>
      <c r="E703">
        <v>313</v>
      </c>
      <c r="F703">
        <v>123</v>
      </c>
      <c r="G703">
        <v>38499</v>
      </c>
      <c r="H703">
        <v>5574</v>
      </c>
    </row>
    <row r="704" spans="1:8" x14ac:dyDescent="0.25">
      <c r="A704">
        <v>2024</v>
      </c>
      <c r="B704" t="s">
        <v>19</v>
      </c>
      <c r="C704" t="s">
        <v>22</v>
      </c>
      <c r="D704" t="s">
        <v>28</v>
      </c>
      <c r="E704">
        <v>366</v>
      </c>
      <c r="F704">
        <v>109</v>
      </c>
      <c r="G704">
        <v>39894</v>
      </c>
      <c r="H704">
        <v>9092</v>
      </c>
    </row>
    <row r="705" spans="1:8" x14ac:dyDescent="0.25">
      <c r="A705">
        <v>2024</v>
      </c>
      <c r="B705" t="s">
        <v>19</v>
      </c>
      <c r="C705" t="s">
        <v>22</v>
      </c>
      <c r="D705" t="s">
        <v>29</v>
      </c>
      <c r="E705">
        <v>167</v>
      </c>
      <c r="F705">
        <v>133</v>
      </c>
      <c r="G705">
        <v>22211</v>
      </c>
      <c r="H705">
        <v>2841</v>
      </c>
    </row>
    <row r="706" spans="1:8" x14ac:dyDescent="0.25">
      <c r="A706">
        <v>2024</v>
      </c>
      <c r="B706" t="s">
        <v>19</v>
      </c>
      <c r="C706" t="s">
        <v>22</v>
      </c>
      <c r="D706" t="s">
        <v>30</v>
      </c>
      <c r="E706">
        <v>144</v>
      </c>
      <c r="F706">
        <v>121</v>
      </c>
      <c r="G706">
        <v>17424</v>
      </c>
      <c r="H706">
        <v>4192</v>
      </c>
    </row>
    <row r="707" spans="1:8" x14ac:dyDescent="0.25">
      <c r="A707">
        <v>2024</v>
      </c>
      <c r="B707" t="s">
        <v>19</v>
      </c>
      <c r="C707" t="s">
        <v>23</v>
      </c>
      <c r="D707" t="s">
        <v>26</v>
      </c>
      <c r="E707">
        <v>168</v>
      </c>
      <c r="F707">
        <v>634</v>
      </c>
      <c r="G707">
        <v>106512</v>
      </c>
      <c r="H707">
        <v>11447</v>
      </c>
    </row>
    <row r="708" spans="1:8" x14ac:dyDescent="0.25">
      <c r="A708">
        <v>2024</v>
      </c>
      <c r="B708" t="s">
        <v>19</v>
      </c>
      <c r="C708" t="s">
        <v>23</v>
      </c>
      <c r="D708" t="s">
        <v>27</v>
      </c>
      <c r="E708">
        <v>423</v>
      </c>
      <c r="F708">
        <v>614</v>
      </c>
      <c r="G708">
        <v>259722</v>
      </c>
      <c r="H708">
        <v>42991</v>
      </c>
    </row>
    <row r="709" spans="1:8" x14ac:dyDescent="0.25">
      <c r="A709">
        <v>2024</v>
      </c>
      <c r="B709" t="s">
        <v>19</v>
      </c>
      <c r="C709" t="s">
        <v>23</v>
      </c>
      <c r="D709" t="s">
        <v>28</v>
      </c>
      <c r="E709">
        <v>443</v>
      </c>
      <c r="F709">
        <v>541</v>
      </c>
      <c r="G709">
        <v>239663</v>
      </c>
      <c r="H709">
        <v>26025</v>
      </c>
    </row>
    <row r="710" spans="1:8" x14ac:dyDescent="0.25">
      <c r="A710">
        <v>2024</v>
      </c>
      <c r="B710" t="s">
        <v>19</v>
      </c>
      <c r="C710" t="s">
        <v>23</v>
      </c>
      <c r="D710" t="s">
        <v>29</v>
      </c>
      <c r="E710">
        <v>286</v>
      </c>
      <c r="F710">
        <v>631</v>
      </c>
      <c r="G710">
        <v>180466</v>
      </c>
      <c r="H710">
        <v>21710</v>
      </c>
    </row>
    <row r="711" spans="1:8" x14ac:dyDescent="0.25">
      <c r="A711">
        <v>2024</v>
      </c>
      <c r="B711" t="s">
        <v>19</v>
      </c>
      <c r="C711" t="s">
        <v>23</v>
      </c>
      <c r="D711" t="s">
        <v>30</v>
      </c>
      <c r="E711">
        <v>124</v>
      </c>
      <c r="F711">
        <v>678</v>
      </c>
      <c r="G711">
        <v>84072</v>
      </c>
      <c r="H711">
        <v>14360</v>
      </c>
    </row>
    <row r="712" spans="1:8" x14ac:dyDescent="0.25">
      <c r="A712">
        <v>2024</v>
      </c>
      <c r="B712" t="s">
        <v>19</v>
      </c>
      <c r="C712" t="s">
        <v>24</v>
      </c>
      <c r="D712" t="s">
        <v>26</v>
      </c>
      <c r="E712">
        <v>330</v>
      </c>
      <c r="F712">
        <v>229</v>
      </c>
      <c r="G712">
        <v>75570</v>
      </c>
      <c r="H712">
        <v>8203</v>
      </c>
    </row>
    <row r="713" spans="1:8" x14ac:dyDescent="0.25">
      <c r="A713">
        <v>2024</v>
      </c>
      <c r="B713" t="s">
        <v>19</v>
      </c>
      <c r="C713" t="s">
        <v>24</v>
      </c>
      <c r="D713" t="s">
        <v>27</v>
      </c>
      <c r="E713">
        <v>338</v>
      </c>
      <c r="F713">
        <v>242</v>
      </c>
      <c r="G713">
        <v>81796</v>
      </c>
      <c r="H713">
        <v>11561</v>
      </c>
    </row>
    <row r="714" spans="1:8" x14ac:dyDescent="0.25">
      <c r="A714">
        <v>2024</v>
      </c>
      <c r="B714" t="s">
        <v>19</v>
      </c>
      <c r="C714" t="s">
        <v>24</v>
      </c>
      <c r="D714" t="s">
        <v>28</v>
      </c>
      <c r="E714">
        <v>395</v>
      </c>
      <c r="F714">
        <v>240</v>
      </c>
      <c r="G714">
        <v>94800</v>
      </c>
      <c r="H714">
        <v>13347</v>
      </c>
    </row>
    <row r="715" spans="1:8" x14ac:dyDescent="0.25">
      <c r="A715">
        <v>2024</v>
      </c>
      <c r="B715" t="s">
        <v>19</v>
      </c>
      <c r="C715" t="s">
        <v>24</v>
      </c>
      <c r="D715" t="s">
        <v>29</v>
      </c>
      <c r="E715">
        <v>295</v>
      </c>
      <c r="F715">
        <v>251</v>
      </c>
      <c r="G715">
        <v>74045</v>
      </c>
      <c r="H715">
        <v>16787</v>
      </c>
    </row>
    <row r="716" spans="1:8" x14ac:dyDescent="0.25">
      <c r="A716">
        <v>2024</v>
      </c>
      <c r="B716" t="s">
        <v>19</v>
      </c>
      <c r="C716" t="s">
        <v>24</v>
      </c>
      <c r="D716" t="s">
        <v>30</v>
      </c>
      <c r="E716">
        <v>168</v>
      </c>
      <c r="F716">
        <v>229</v>
      </c>
      <c r="G716">
        <v>38472</v>
      </c>
      <c r="H716">
        <v>6660</v>
      </c>
    </row>
    <row r="717" spans="1:8" x14ac:dyDescent="0.25">
      <c r="A717">
        <v>2024</v>
      </c>
      <c r="B717" t="s">
        <v>19</v>
      </c>
      <c r="C717" t="s">
        <v>25</v>
      </c>
      <c r="D717" t="s">
        <v>26</v>
      </c>
      <c r="E717">
        <v>297</v>
      </c>
      <c r="F717">
        <v>319</v>
      </c>
      <c r="G717">
        <v>94743</v>
      </c>
      <c r="H717">
        <v>18281</v>
      </c>
    </row>
    <row r="718" spans="1:8" x14ac:dyDescent="0.25">
      <c r="A718">
        <v>2024</v>
      </c>
      <c r="B718" t="s">
        <v>19</v>
      </c>
      <c r="C718" t="s">
        <v>25</v>
      </c>
      <c r="D718" t="s">
        <v>27</v>
      </c>
      <c r="E718">
        <v>113</v>
      </c>
      <c r="F718">
        <v>361</v>
      </c>
      <c r="G718">
        <v>40793</v>
      </c>
      <c r="H718">
        <v>6594</v>
      </c>
    </row>
    <row r="719" spans="1:8" x14ac:dyDescent="0.25">
      <c r="A719">
        <v>2024</v>
      </c>
      <c r="B719" t="s">
        <v>19</v>
      </c>
      <c r="C719" t="s">
        <v>25</v>
      </c>
      <c r="D719" t="s">
        <v>28</v>
      </c>
      <c r="E719">
        <v>97</v>
      </c>
      <c r="F719">
        <v>322</v>
      </c>
      <c r="G719">
        <v>31234</v>
      </c>
      <c r="H719">
        <v>4232</v>
      </c>
    </row>
    <row r="720" spans="1:8" x14ac:dyDescent="0.25">
      <c r="A720">
        <v>2024</v>
      </c>
      <c r="B720" t="s">
        <v>19</v>
      </c>
      <c r="C720" t="s">
        <v>25</v>
      </c>
      <c r="D720" t="s">
        <v>29</v>
      </c>
      <c r="E720">
        <v>270</v>
      </c>
      <c r="F720">
        <v>373</v>
      </c>
      <c r="G720">
        <v>100710</v>
      </c>
      <c r="H720">
        <v>24624</v>
      </c>
    </row>
    <row r="721" spans="1:8" x14ac:dyDescent="0.25">
      <c r="A721">
        <v>2024</v>
      </c>
      <c r="B721" t="s">
        <v>19</v>
      </c>
      <c r="C721" t="s">
        <v>25</v>
      </c>
      <c r="D721" t="s">
        <v>30</v>
      </c>
      <c r="E721">
        <v>251</v>
      </c>
      <c r="F721">
        <v>392</v>
      </c>
      <c r="G721">
        <v>98392</v>
      </c>
      <c r="H721">
        <v>15646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tabSelected="1" topLeftCell="G1" workbookViewId="0">
      <pane ySplit="11" topLeftCell="A12" activePane="bottomLeft" state="frozen"/>
      <selection pane="bottomLeft" activeCell="V41" sqref="V41"/>
    </sheetView>
  </sheetViews>
  <sheetFormatPr defaultRowHeight="15" x14ac:dyDescent="0.25"/>
  <cols>
    <col min="1" max="1" width="20.7109375" customWidth="1"/>
    <col min="2" max="3" width="18.7109375" customWidth="1"/>
    <col min="5" max="5" width="40.7109375" customWidth="1"/>
    <col min="11" max="11" width="18.7109375" customWidth="1"/>
  </cols>
  <sheetData>
    <row r="1" spans="1:3" ht="21" x14ac:dyDescent="0.35">
      <c r="A1" s="2" t="s">
        <v>31</v>
      </c>
    </row>
    <row r="2" spans="1:3" x14ac:dyDescent="0.25">
      <c r="A2" s="3" t="s">
        <v>32</v>
      </c>
    </row>
    <row r="4" spans="1:3" x14ac:dyDescent="0.25">
      <c r="A4" s="4" t="s">
        <v>33</v>
      </c>
      <c r="B4" s="8" t="s">
        <v>34</v>
      </c>
    </row>
    <row r="5" spans="1:3" x14ac:dyDescent="0.25">
      <c r="A5" s="5" t="s">
        <v>35</v>
      </c>
      <c r="B5" s="6">
        <f>SUMIFS('All Data'!G:G,'All Data'!A:A,2023)</f>
        <v>47377103</v>
      </c>
    </row>
    <row r="6" spans="1:3" x14ac:dyDescent="0.25">
      <c r="A6" s="5" t="s">
        <v>36</v>
      </c>
      <c r="B6" s="6">
        <f>SUMIFS('All Data'!G:G,'All Data'!A:A,2024)</f>
        <v>55296029</v>
      </c>
    </row>
    <row r="7" spans="1:3" x14ac:dyDescent="0.25">
      <c r="A7" s="5" t="s">
        <v>37</v>
      </c>
      <c r="B7" s="7">
        <f>(B6-B5)/IF(B5=0,1,B5)</f>
        <v>0.1671466910925305</v>
      </c>
    </row>
    <row r="8" spans="1:3" x14ac:dyDescent="0.25">
      <c r="A8" s="5" t="s">
        <v>38</v>
      </c>
      <c r="B8" s="6">
        <f>SUMIFS('All Data'!H:H,'All Data'!A:A,2024)</f>
        <v>9575283</v>
      </c>
    </row>
    <row r="9" spans="1:3" x14ac:dyDescent="0.25">
      <c r="A9" s="5" t="s">
        <v>39</v>
      </c>
      <c r="B9" s="6">
        <f>SUMIFS('All Data'!E:E,'All Data'!A:A,2024)</f>
        <v>97885</v>
      </c>
    </row>
    <row r="12" spans="1:3" x14ac:dyDescent="0.25">
      <c r="A12" s="4" t="s">
        <v>1</v>
      </c>
      <c r="B12" s="4" t="s">
        <v>40</v>
      </c>
      <c r="C12" s="4" t="s">
        <v>41</v>
      </c>
    </row>
    <row r="13" spans="1:3" x14ac:dyDescent="0.25">
      <c r="A13" t="s">
        <v>8</v>
      </c>
      <c r="B13" s="11">
        <f>SUMIFS('All Data'!G:G,'All Data'!A:A,2023,'All Data'!B:B,"January")</f>
        <v>4313733</v>
      </c>
      <c r="C13" s="11">
        <f>SUMIFS('All Data'!G:G,'All Data'!A:A,2024,'All Data'!B:B,"January")</f>
        <v>4789433</v>
      </c>
    </row>
    <row r="14" spans="1:3" x14ac:dyDescent="0.25">
      <c r="A14" t="s">
        <v>9</v>
      </c>
      <c r="B14" s="11">
        <f>SUMIFS('All Data'!G:G,'All Data'!A:A,2023,'All Data'!B:B,"February")</f>
        <v>4288707</v>
      </c>
      <c r="C14" s="11">
        <f>SUMIFS('All Data'!G:G,'All Data'!A:A,2024,'All Data'!B:B,"February")</f>
        <v>4485492</v>
      </c>
    </row>
    <row r="15" spans="1:3" x14ac:dyDescent="0.25">
      <c r="A15" t="s">
        <v>10</v>
      </c>
      <c r="B15" s="11">
        <f>SUMIFS('All Data'!G:G,'All Data'!A:A,2023,'All Data'!B:B,"March")</f>
        <v>4489193</v>
      </c>
      <c r="C15" s="11">
        <f>SUMIFS('All Data'!G:G,'All Data'!A:A,2024,'All Data'!B:B,"March")</f>
        <v>4843903</v>
      </c>
    </row>
    <row r="16" spans="1:3" x14ac:dyDescent="0.25">
      <c r="A16" t="s">
        <v>11</v>
      </c>
      <c r="B16" s="11">
        <f>SUMIFS('All Data'!G:G,'All Data'!A:A,2023,'All Data'!B:B,"April")</f>
        <v>4246964</v>
      </c>
      <c r="C16" s="11">
        <f>SUMIFS('All Data'!G:G,'All Data'!A:A,2024,'All Data'!B:B,"April")</f>
        <v>4459527</v>
      </c>
    </row>
    <row r="17" spans="1:3" x14ac:dyDescent="0.25">
      <c r="A17" t="s">
        <v>12</v>
      </c>
      <c r="B17" s="11">
        <f>SUMIFS('All Data'!G:G,'All Data'!A:A,2023,'All Data'!B:B,"May")</f>
        <v>3622260</v>
      </c>
      <c r="C17" s="11">
        <f>SUMIFS('All Data'!G:G,'All Data'!A:A,2024,'All Data'!B:B,"May")</f>
        <v>4808177</v>
      </c>
    </row>
    <row r="18" spans="1:3" x14ac:dyDescent="0.25">
      <c r="A18" t="s">
        <v>13</v>
      </c>
      <c r="B18" s="11">
        <f>SUMIFS('All Data'!G:G,'All Data'!A:A,2023,'All Data'!B:B,"June")</f>
        <v>4429129</v>
      </c>
      <c r="C18" s="11">
        <f>SUMIFS('All Data'!G:G,'All Data'!A:A,2024,'All Data'!B:B,"June")</f>
        <v>5422597</v>
      </c>
    </row>
    <row r="19" spans="1:3" x14ac:dyDescent="0.25">
      <c r="A19" t="s">
        <v>14</v>
      </c>
      <c r="B19" s="11">
        <f>SUMIFS('All Data'!G:G,'All Data'!A:A,2023,'All Data'!B:B,"July")</f>
        <v>3677579</v>
      </c>
      <c r="C19" s="11">
        <f>SUMIFS('All Data'!G:G,'All Data'!A:A,2024,'All Data'!B:B,"July")</f>
        <v>4725081</v>
      </c>
    </row>
    <row r="20" spans="1:3" x14ac:dyDescent="0.25">
      <c r="A20" t="s">
        <v>15</v>
      </c>
      <c r="B20" s="11">
        <f>SUMIFS('All Data'!G:G,'All Data'!A:A,2023,'All Data'!B:B,"August")</f>
        <v>3534129</v>
      </c>
      <c r="C20" s="11">
        <f>SUMIFS('All Data'!G:G,'All Data'!A:A,2024,'All Data'!B:B,"August")</f>
        <v>4177835</v>
      </c>
    </row>
    <row r="21" spans="1:3" x14ac:dyDescent="0.25">
      <c r="A21" t="s">
        <v>16</v>
      </c>
      <c r="B21" s="11">
        <f>SUMIFS('All Data'!G:G,'All Data'!A:A,2023,'All Data'!B:B,"September")</f>
        <v>3314291</v>
      </c>
      <c r="C21" s="11">
        <f>SUMIFS('All Data'!G:G,'All Data'!A:A,2024,'All Data'!B:B,"September")</f>
        <v>4045739</v>
      </c>
    </row>
    <row r="22" spans="1:3" x14ac:dyDescent="0.25">
      <c r="A22" t="s">
        <v>17</v>
      </c>
      <c r="B22" s="11">
        <f>SUMIFS('All Data'!G:G,'All Data'!A:A,2023,'All Data'!B:B,"October")</f>
        <v>3535624</v>
      </c>
      <c r="C22" s="11">
        <f>SUMIFS('All Data'!G:G,'All Data'!A:A,2024,'All Data'!B:B,"October")</f>
        <v>4290260</v>
      </c>
    </row>
    <row r="23" spans="1:3" x14ac:dyDescent="0.25">
      <c r="A23" t="s">
        <v>18</v>
      </c>
      <c r="B23" s="11">
        <f>SUMIFS('All Data'!G:G,'All Data'!A:A,2023,'All Data'!B:B,"November")</f>
        <v>4210436</v>
      </c>
      <c r="C23" s="11">
        <f>SUMIFS('All Data'!G:G,'All Data'!A:A,2024,'All Data'!B:B,"November")</f>
        <v>4684859</v>
      </c>
    </row>
    <row r="24" spans="1:3" x14ac:dyDescent="0.25">
      <c r="A24" t="s">
        <v>19</v>
      </c>
      <c r="B24" s="11">
        <f>SUMIFS('All Data'!G:G,'All Data'!A:A,2023,'All Data'!B:B,"December")</f>
        <v>3715058</v>
      </c>
      <c r="C24" s="11">
        <f>SUMIFS('All Data'!G:G,'All Data'!A:A,2024,'All Data'!B:B,"December")</f>
        <v>4563126</v>
      </c>
    </row>
    <row r="25" spans="1:3" x14ac:dyDescent="0.25">
      <c r="B25" s="12"/>
    </row>
    <row r="26" spans="1:3" x14ac:dyDescent="0.25">
      <c r="A26" t="s">
        <v>20</v>
      </c>
      <c r="B26" s="12">
        <f>SUMIFS('All Data'!G:G,'All Data'!C:C,"Laptop",'All Data'!A:A,2023)</f>
        <v>16082763</v>
      </c>
      <c r="C26" s="12">
        <v>19026511</v>
      </c>
    </row>
    <row r="27" spans="1:3" x14ac:dyDescent="0.25">
      <c r="A27" t="s">
        <v>21</v>
      </c>
      <c r="B27" s="12">
        <f>SUMIFS('All Data'!G:G,'All Data'!C:C,"Smartphone",'All Data'!A:A,2023)</f>
        <v>10925558</v>
      </c>
      <c r="C27" s="11">
        <f>SUMIFS('All Data'!G:G,'All Data'!C:C,"Smartphone",'All Data'!A:A,2024)</f>
        <v>13839406</v>
      </c>
    </row>
    <row r="28" spans="1:3" x14ac:dyDescent="0.25">
      <c r="A28" t="s">
        <v>22</v>
      </c>
      <c r="B28" s="12">
        <f>SUMIFS('All Data'!G:G,'All Data'!C:C,"Headphones",'All Data'!A:A,2023)</f>
        <v>1758070</v>
      </c>
      <c r="C28" s="11">
        <f>SUMIFS('All Data'!G:G,'All Data'!C:C,"Headphones",'All Data'!A:A,2024)</f>
        <v>1875940</v>
      </c>
    </row>
    <row r="29" spans="1:3" x14ac:dyDescent="0.25">
      <c r="A29" t="s">
        <v>23</v>
      </c>
      <c r="B29" s="12">
        <f>SUMIFS('All Data'!G:G,'All Data'!C:C,"Tablet",'All Data'!A:A,2023)</f>
        <v>9705014</v>
      </c>
      <c r="C29" s="11">
        <f>SUMIFS('All Data'!G:G,'All Data'!C:C,"Tablet",'All Data'!A:A,2024)</f>
        <v>10094084</v>
      </c>
    </row>
    <row r="30" spans="1:3" x14ac:dyDescent="0.25">
      <c r="A30" t="s">
        <v>24</v>
      </c>
      <c r="B30" s="12">
        <f>SUMIFS('All Data'!G:G,'All Data'!C:C,"Smartwatch",'All Data'!A:A,2023)</f>
        <v>3608198</v>
      </c>
      <c r="C30" s="11">
        <f>SUMIFS('All Data'!G:G,'All Data'!C:C,"Smartwatch",'All Data'!A:A,2024)</f>
        <v>4551089</v>
      </c>
    </row>
    <row r="31" spans="1:3" x14ac:dyDescent="0.25">
      <c r="A31" t="s">
        <v>25</v>
      </c>
      <c r="B31" s="12">
        <f>SUMIFS('All Data'!G:G,'All Data'!C:C,"Monitor",'All Data'!A:A,2023)</f>
        <v>5297500</v>
      </c>
      <c r="C31" s="11">
        <f>SUMIFS('All Data'!G:G,'All Data'!C:C,"Monitor",'All Data'!A:A,2024)</f>
        <v>5908999</v>
      </c>
    </row>
    <row r="32" spans="1:3" x14ac:dyDescent="0.25">
      <c r="B32" s="12"/>
    </row>
    <row r="33" spans="1:3" x14ac:dyDescent="0.25">
      <c r="B33" s="12"/>
    </row>
    <row r="34" spans="1:3" x14ac:dyDescent="0.25">
      <c r="A34" t="s">
        <v>26</v>
      </c>
      <c r="B34" s="10">
        <f>SUMIFS('All Data'!G:G,'All Data'!D:D,"Accra",'All Data'!A:A,2023)</f>
        <v>9106157</v>
      </c>
      <c r="C34" s="11">
        <f>SUMIFS('All Data'!G:G,'All Data'!D:D,"Accra",'All Data'!A:A,2024)</f>
        <v>10639697</v>
      </c>
    </row>
    <row r="35" spans="1:3" x14ac:dyDescent="0.25">
      <c r="A35" t="s">
        <v>27</v>
      </c>
      <c r="B35" s="10">
        <f>SUMIFS('All Data'!G:G,'All Data'!D:D,"Kumasi",'All Data'!A:A,2023)</f>
        <v>10109794</v>
      </c>
      <c r="C35" s="11">
        <f>SUMIFS('All Data'!G:G,'All Data'!D:D,"Kumasi",'All Data'!A:A,2024)</f>
        <v>11383054</v>
      </c>
    </row>
    <row r="36" spans="1:3" x14ac:dyDescent="0.25">
      <c r="A36" t="s">
        <v>28</v>
      </c>
      <c r="B36" s="10">
        <f>SUMIFS('All Data'!G:G,'All Data'!D:D,"Takoradi",'All Data'!A:A,2023)</f>
        <v>8165808</v>
      </c>
      <c r="C36" s="11">
        <f>SUMIFS('All Data'!G:G,'All Data'!D:D,"Takoradi",'All Data'!A:A,2024)</f>
        <v>10766749</v>
      </c>
    </row>
    <row r="37" spans="1:3" x14ac:dyDescent="0.25">
      <c r="A37" t="s">
        <v>29</v>
      </c>
      <c r="B37" s="10">
        <f>SUMIFS('All Data'!G:G,'All Data'!D:D,"Tamale",'All Data'!A:A,2023)</f>
        <v>9798093</v>
      </c>
      <c r="C37" s="11">
        <f>SUMIFS('All Data'!G:G,'All Data'!D:D,"Tamale",'All Data'!A:A,2024)</f>
        <v>11818367</v>
      </c>
    </row>
    <row r="38" spans="1:3" x14ac:dyDescent="0.25">
      <c r="A38" t="s">
        <v>30</v>
      </c>
      <c r="B38" s="10">
        <f>SUMIFS('All Data'!G:G,'All Data'!D:D,"Cape Coast",'All Data'!A:A,2023)</f>
        <v>10197251</v>
      </c>
      <c r="C38" s="11">
        <f>SUMIFS('All Data'!G:G,'All Data'!D:D,"Cape Coast",'All Data'!A:A,2024)</f>
        <v>10688162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2023</vt:lpstr>
      <vt:lpstr>Sales 2024</vt:lpstr>
      <vt:lpstr>All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Emmanuel nyamekye</cp:lastModifiedBy>
  <dcterms:created xsi:type="dcterms:W3CDTF">2025-11-03T14:51:53Z</dcterms:created>
  <dcterms:modified xsi:type="dcterms:W3CDTF">2025-11-03T16:31:35Z</dcterms:modified>
</cp:coreProperties>
</file>